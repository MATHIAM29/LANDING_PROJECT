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P\Desktop\U T\"/>
    </mc:Choice>
  </mc:AlternateContent>
  <bookViews>
    <workbookView xWindow="0" yWindow="0" windowWidth="20490" windowHeight="7155" activeTab="7"/>
  </bookViews>
  <sheets>
    <sheet name="A" sheetId="1" r:id="rId1"/>
    <sheet name="B" sheetId="2" r:id="rId2"/>
    <sheet name="C" sheetId="3" r:id="rId3"/>
    <sheet name="D" sheetId="4" r:id="rId4"/>
    <sheet name="E" sheetId="5" r:id="rId5"/>
    <sheet name="RECAP" sheetId="6" r:id="rId6"/>
    <sheet name="HEATMAP" sheetId="7" r:id="rId7"/>
    <sheet name="Feuil2" sheetId="9" r:id="rId8"/>
  </sheets>
  <externalReferences>
    <externalReference r:id="rId9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9" l="1"/>
  <c r="F3" i="9"/>
  <c r="F2" i="9"/>
  <c r="I2" i="6"/>
  <c r="I18" i="6"/>
  <c r="I34" i="6"/>
  <c r="I50" i="6"/>
  <c r="I66" i="6"/>
  <c r="I82" i="6"/>
  <c r="I98" i="6"/>
  <c r="I28" i="6"/>
  <c r="I60" i="6"/>
  <c r="I92" i="6"/>
  <c r="I29" i="6"/>
  <c r="I61" i="6"/>
  <c r="I93" i="6"/>
  <c r="I11" i="6"/>
  <c r="I27" i="6"/>
  <c r="I43" i="6"/>
  <c r="I59" i="6"/>
  <c r="I75" i="6"/>
  <c r="I91" i="6"/>
  <c r="I24" i="6"/>
  <c r="I56" i="6"/>
  <c r="I88" i="6"/>
  <c r="I25" i="6"/>
  <c r="I57" i="6"/>
  <c r="I89" i="6"/>
  <c r="I95" i="6"/>
  <c r="I64" i="6"/>
  <c r="I33" i="6"/>
  <c r="I97" i="6"/>
  <c r="I26" i="6"/>
  <c r="I42" i="6"/>
  <c r="I74" i="6"/>
  <c r="I12" i="6"/>
  <c r="I44" i="6"/>
  <c r="I13" i="6"/>
  <c r="I77" i="6"/>
  <c r="I19" i="6"/>
  <c r="I35" i="6"/>
  <c r="I67" i="6"/>
  <c r="I8" i="6"/>
  <c r="I40" i="6"/>
  <c r="I9" i="6"/>
  <c r="I41" i="6"/>
  <c r="I4" i="6"/>
  <c r="I14" i="6"/>
  <c r="I46" i="6"/>
  <c r="I62" i="6"/>
  <c r="I84" i="6"/>
  <c r="I85" i="6"/>
  <c r="I23" i="6"/>
  <c r="I55" i="6"/>
  <c r="I87" i="6"/>
  <c r="I48" i="6"/>
  <c r="I17" i="6"/>
  <c r="I81" i="6"/>
  <c r="I6" i="6"/>
  <c r="I22" i="6"/>
  <c r="I38" i="6"/>
  <c r="I54" i="6"/>
  <c r="I70" i="6"/>
  <c r="I86" i="6"/>
  <c r="I99" i="6"/>
  <c r="I36" i="6"/>
  <c r="I68" i="6"/>
  <c r="I100" i="6"/>
  <c r="I37" i="6"/>
  <c r="I69" i="6"/>
  <c r="I101" i="6"/>
  <c r="I15" i="6"/>
  <c r="I31" i="6"/>
  <c r="I47" i="6"/>
  <c r="I63" i="6"/>
  <c r="I79" i="6"/>
  <c r="I32" i="6"/>
  <c r="I96" i="6"/>
  <c r="I65" i="6"/>
  <c r="I10" i="6"/>
  <c r="I58" i="6"/>
  <c r="I90" i="6"/>
  <c r="I76" i="6"/>
  <c r="I45" i="6"/>
  <c r="I3" i="6"/>
  <c r="I51" i="6"/>
  <c r="I83" i="6"/>
  <c r="I72" i="6"/>
  <c r="I73" i="6"/>
  <c r="I30" i="6"/>
  <c r="I78" i="6"/>
  <c r="I94" i="6"/>
  <c r="I20" i="6"/>
  <c r="I52" i="6"/>
  <c r="I21" i="6"/>
  <c r="I53" i="6"/>
  <c r="I7" i="6"/>
  <c r="I39" i="6"/>
  <c r="I71" i="6"/>
  <c r="I16" i="6"/>
  <c r="I80" i="6"/>
  <c r="I49" i="6"/>
  <c r="I5" i="6"/>
</calcChain>
</file>

<file path=xl/sharedStrings.xml><?xml version="1.0" encoding="utf-8"?>
<sst xmlns="http://schemas.openxmlformats.org/spreadsheetml/2006/main" count="251" uniqueCount="18">
  <si>
    <t>CC</t>
  </si>
  <si>
    <t>PR</t>
  </si>
  <si>
    <t>TA</t>
  </si>
  <si>
    <t>PFI</t>
  </si>
  <si>
    <t>CB</t>
  </si>
  <si>
    <t>VCP</t>
  </si>
  <si>
    <t>V</t>
  </si>
  <si>
    <t>Z</t>
  </si>
  <si>
    <t>SITUATION DE L'ENTREPRISE</t>
  </si>
  <si>
    <t>entreprise saine</t>
  </si>
  <si>
    <t>entreprise en zone d'incertitude</t>
  </si>
  <si>
    <t>entreprise defaillante</t>
  </si>
  <si>
    <t>SITUATION  ENTREPRISE</t>
  </si>
  <si>
    <t>POSITION</t>
  </si>
  <si>
    <t>TOTAL</t>
  </si>
  <si>
    <t>ACCEPTES</t>
  </si>
  <si>
    <t>REJETES</t>
  </si>
  <si>
    <t>INCERTAINS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</si>
</sst>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Feuil2!$F$1</c:f>
              <c:strCache>
                <c:ptCount val="1"/>
                <c:pt idx="0">
                  <c:v>TOTAL</c:v>
                </c:pt>
              </c:strCache>
            </c:strRef>
          </c:tx>
          <c:spPr>
            <a:effectLst>
              <a:outerShdw blurRad="50800" dist="50800" dir="5400000" algn="ctr" rotWithShape="0">
                <a:srgbClr val="00B050"/>
              </a:outerShdw>
            </a:effectLst>
          </c:spPr>
          <c:dPt>
            <c:idx val="0"/>
            <c:bubble3D val="0"/>
            <c:explosion val="15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>
                <a:outerShdw blurRad="50800" dist="50800" dir="5400000" algn="ctr" rotWithShape="0">
                  <a:srgbClr val="00B05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90A5-4BFD-9088-E4D3E47B6EE3}"/>
              </c:ext>
            </c:extLst>
          </c:dPt>
          <c:dPt>
            <c:idx val="1"/>
            <c:bubble3D val="0"/>
            <c:explosion val="6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>
                <a:outerShdw blurRad="50800" dist="50800" dir="5400000" algn="ctr" rotWithShape="0">
                  <a:srgbClr val="00B05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90A5-4BFD-9088-E4D3E47B6EE3}"/>
              </c:ext>
            </c:extLst>
          </c:dPt>
          <c:dPt>
            <c:idx val="2"/>
            <c:bubble3D val="0"/>
            <c:explosion val="1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>
                <a:outerShdw blurRad="50800" dist="50800" dir="5400000" algn="ctr" rotWithShape="0">
                  <a:srgbClr val="00B05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0A5-4BFD-9088-E4D3E47B6EE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Feuil2!$E$2:$E$4</c:f>
              <c:strCache>
                <c:ptCount val="3"/>
                <c:pt idx="0">
                  <c:v>ACCEPTES</c:v>
                </c:pt>
                <c:pt idx="1">
                  <c:v>INCERTAINS</c:v>
                </c:pt>
                <c:pt idx="2">
                  <c:v>REJETES</c:v>
                </c:pt>
              </c:strCache>
            </c:strRef>
          </c:cat>
          <c:val>
            <c:numRef>
              <c:f>Feuil2!$F$2:$F$4</c:f>
              <c:numCache>
                <c:formatCode>General</c:formatCode>
                <c:ptCount val="3"/>
                <c:pt idx="0">
                  <c:v>28</c:v>
                </c:pt>
                <c:pt idx="1">
                  <c:v>40</c:v>
                </c:pt>
                <c:pt idx="2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A5-4BFD-9088-E4D3E47B6EE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20447173965729"/>
          <c:y val="0.42513419162306765"/>
          <c:w val="0.14643839244865034"/>
          <c:h val="0.155890198786419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50800" dir="5400000" algn="ctr" rotWithShape="0">
        <a:srgbClr val="92D050"/>
      </a:outerShdw>
    </a:effectLst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</xdr:row>
      <xdr:rowOff>152400</xdr:rowOff>
    </xdr:from>
    <xdr:to>
      <xdr:col>11</xdr:col>
      <xdr:colOff>304800</xdr:colOff>
      <xdr:row>19</xdr:row>
      <xdr:rowOff>38100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314325</xdr:colOff>
      <xdr:row>12</xdr:row>
      <xdr:rowOff>180974</xdr:rowOff>
    </xdr:from>
    <xdr:to>
      <xdr:col>10</xdr:col>
      <xdr:colOff>171450</xdr:colOff>
      <xdr:row>34</xdr:row>
      <xdr:rowOff>114300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</sheetNames>
    <definedNames>
      <definedName name="Module2.score_Altma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I21"/>
  <sheetViews>
    <sheetView topLeftCell="F1" workbookViewId="0">
      <selection activeCell="I2" sqref="I2:I21"/>
    </sheetView>
  </sheetViews>
  <sheetFormatPr baseColWidth="10" defaultRowHeight="15" x14ac:dyDescent="0.25"/>
  <cols>
    <col min="1" max="7" width="11.4257812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s="1" t="s">
        <v>7</v>
      </c>
    </row>
    <row r="2" spans="1:9" x14ac:dyDescent="0.25">
      <c r="A2" s="1">
        <v>-12669592</v>
      </c>
      <c r="B2" s="1">
        <v>10220287</v>
      </c>
      <c r="C2" s="1">
        <v>11602297</v>
      </c>
      <c r="D2" s="1">
        <v>10120287</v>
      </c>
      <c r="E2" s="1">
        <v>356403</v>
      </c>
      <c r="F2" s="1">
        <v>24271889</v>
      </c>
      <c r="G2" s="1">
        <v>10632838</v>
      </c>
      <c r="I2">
        <v>3.725664209708571</v>
      </c>
    </row>
    <row r="3" spans="1:9" x14ac:dyDescent="0.25">
      <c r="A3" s="1">
        <v>25099</v>
      </c>
      <c r="B3" s="1">
        <v>4788760</v>
      </c>
      <c r="C3" s="1">
        <v>13566555</v>
      </c>
      <c r="D3" s="1">
        <v>4688760</v>
      </c>
      <c r="E3" s="1">
        <v>304782</v>
      </c>
      <c r="F3" s="1">
        <v>13541456</v>
      </c>
      <c r="G3" s="1">
        <v>5057196</v>
      </c>
      <c r="I3">
        <v>2.0228155059292909</v>
      </c>
    </row>
    <row r="4" spans="1:9" x14ac:dyDescent="0.25">
      <c r="A4" s="1">
        <v>5697159</v>
      </c>
      <c r="B4" s="1">
        <v>3196660</v>
      </c>
      <c r="C4" s="1">
        <v>24032434</v>
      </c>
      <c r="D4" s="1">
        <v>3096660</v>
      </c>
      <c r="E4" s="1">
        <v>123104</v>
      </c>
      <c r="F4" s="1">
        <v>18335275</v>
      </c>
      <c r="G4" s="1">
        <v>3669992</v>
      </c>
      <c r="I4">
        <v>1.0524954788647591</v>
      </c>
    </row>
    <row r="5" spans="1:9" x14ac:dyDescent="0.25">
      <c r="A5" s="1">
        <v>115702</v>
      </c>
      <c r="B5" s="1">
        <v>13625272</v>
      </c>
      <c r="C5" s="1">
        <v>14446232</v>
      </c>
      <c r="D5" s="1">
        <v>13525272</v>
      </c>
      <c r="E5" s="1">
        <v>476972</v>
      </c>
      <c r="F5" s="1">
        <v>14330530</v>
      </c>
      <c r="G5" s="1">
        <v>14166333</v>
      </c>
      <c r="I5">
        <v>5.4192873244583604</v>
      </c>
    </row>
    <row r="6" spans="1:9" x14ac:dyDescent="0.25">
      <c r="A6" s="1">
        <v>3816720</v>
      </c>
      <c r="B6" s="1">
        <v>9331367</v>
      </c>
      <c r="C6" s="1">
        <v>16832148</v>
      </c>
      <c r="D6" s="1">
        <v>9231367</v>
      </c>
      <c r="E6" s="1">
        <v>309696</v>
      </c>
      <c r="F6" s="1">
        <v>13015428</v>
      </c>
      <c r="G6" s="1">
        <v>10023146</v>
      </c>
      <c r="I6">
        <v>3.4672293988615275</v>
      </c>
    </row>
    <row r="7" spans="1:9" x14ac:dyDescent="0.25">
      <c r="A7" s="1">
        <v>14124528</v>
      </c>
      <c r="B7" s="1">
        <v>7460138</v>
      </c>
      <c r="C7" s="1">
        <v>24258979</v>
      </c>
      <c r="D7" s="1">
        <v>7360138</v>
      </c>
      <c r="E7" s="1">
        <v>458504</v>
      </c>
      <c r="F7" s="1">
        <v>10134451</v>
      </c>
      <c r="G7" s="1">
        <v>8241103</v>
      </c>
      <c r="I7">
        <v>2.4969500305056571</v>
      </c>
    </row>
    <row r="8" spans="1:9" x14ac:dyDescent="0.25">
      <c r="A8" s="1">
        <v>1559563</v>
      </c>
      <c r="B8" s="1">
        <v>8221100</v>
      </c>
      <c r="C8" s="1">
        <v>19201074</v>
      </c>
      <c r="D8" s="1">
        <v>8121100</v>
      </c>
      <c r="E8" s="1">
        <v>410821</v>
      </c>
      <c r="F8" s="1">
        <v>17641511</v>
      </c>
      <c r="G8" s="1">
        <v>8583139</v>
      </c>
      <c r="I8">
        <v>2.5531636898517607</v>
      </c>
    </row>
    <row r="9" spans="1:9" x14ac:dyDescent="0.25">
      <c r="A9" s="1">
        <v>7220041</v>
      </c>
      <c r="B9" s="1">
        <v>3141192</v>
      </c>
      <c r="C9" s="1">
        <v>19726999</v>
      </c>
      <c r="D9" s="1">
        <v>3041192</v>
      </c>
      <c r="E9" s="1">
        <v>113888</v>
      </c>
      <c r="F9" s="1">
        <v>12506958</v>
      </c>
      <c r="G9" s="1">
        <v>3469461</v>
      </c>
      <c r="I9">
        <v>1.352026329025626</v>
      </c>
    </row>
    <row r="10" spans="1:9" x14ac:dyDescent="0.25">
      <c r="A10" s="1">
        <v>-7705792</v>
      </c>
      <c r="B10" s="1">
        <v>6297910</v>
      </c>
      <c r="C10" s="1">
        <v>13749043</v>
      </c>
      <c r="D10" s="1">
        <v>6197910</v>
      </c>
      <c r="E10" s="1">
        <v>223844</v>
      </c>
      <c r="F10" s="1">
        <v>21454835</v>
      </c>
      <c r="G10" s="1">
        <v>7004684</v>
      </c>
      <c r="I10">
        <v>1.9715534928888081</v>
      </c>
    </row>
    <row r="11" spans="1:9" x14ac:dyDescent="0.25">
      <c r="A11" s="1">
        <v>-5770669</v>
      </c>
      <c r="B11" s="1">
        <v>10843396</v>
      </c>
      <c r="C11" s="1">
        <v>13446647</v>
      </c>
      <c r="D11" s="1">
        <v>10743396</v>
      </c>
      <c r="E11" s="1">
        <v>293434</v>
      </c>
      <c r="F11" s="1">
        <v>19217316</v>
      </c>
      <c r="G11" s="1">
        <v>11620394</v>
      </c>
      <c r="I11">
        <v>4.1230445728898051</v>
      </c>
    </row>
    <row r="12" spans="1:9" x14ac:dyDescent="0.25">
      <c r="A12" s="1">
        <v>162202</v>
      </c>
      <c r="B12" s="1">
        <v>2707649</v>
      </c>
      <c r="C12" s="1">
        <v>23575056</v>
      </c>
      <c r="D12" s="1">
        <v>2607649</v>
      </c>
      <c r="E12" s="1">
        <v>245758</v>
      </c>
      <c r="F12" s="1">
        <v>23412854</v>
      </c>
      <c r="G12" s="1">
        <v>3471145</v>
      </c>
      <c r="I12">
        <v>0.68745299649238578</v>
      </c>
    </row>
    <row r="13" spans="1:9" x14ac:dyDescent="0.25">
      <c r="A13" s="1">
        <v>10279145</v>
      </c>
      <c r="B13" s="1">
        <v>4100015</v>
      </c>
      <c r="C13" s="1">
        <v>20671895</v>
      </c>
      <c r="D13" s="1">
        <v>4000015</v>
      </c>
      <c r="E13" s="1">
        <v>340240</v>
      </c>
      <c r="F13" s="1">
        <v>10392750</v>
      </c>
      <c r="G13" s="1">
        <v>4899009</v>
      </c>
      <c r="I13">
        <v>1.7693205572217703</v>
      </c>
    </row>
    <row r="14" spans="1:9" x14ac:dyDescent="0.25">
      <c r="A14" s="1">
        <v>-816657</v>
      </c>
      <c r="B14" s="1">
        <v>3314632</v>
      </c>
      <c r="C14" s="1">
        <v>15620529</v>
      </c>
      <c r="D14" s="1">
        <v>3214632</v>
      </c>
      <c r="E14" s="1">
        <v>223387</v>
      </c>
      <c r="F14" s="1">
        <v>16437186</v>
      </c>
      <c r="G14" s="1">
        <v>4061840</v>
      </c>
      <c r="I14">
        <v>1.1813897778987883</v>
      </c>
    </row>
    <row r="15" spans="1:9" x14ac:dyDescent="0.25">
      <c r="A15" s="1">
        <v>-4693175</v>
      </c>
      <c r="B15" s="1">
        <v>2622315</v>
      </c>
      <c r="C15" s="1">
        <v>14177487</v>
      </c>
      <c r="D15" s="1">
        <v>2522315</v>
      </c>
      <c r="E15" s="1">
        <v>407920</v>
      </c>
      <c r="F15" s="1">
        <v>18870662</v>
      </c>
      <c r="G15" s="1">
        <v>2986883</v>
      </c>
      <c r="I15">
        <v>0.67225231596827506</v>
      </c>
    </row>
    <row r="16" spans="1:9" x14ac:dyDescent="0.25">
      <c r="A16" s="1">
        <v>11803165</v>
      </c>
      <c r="B16" s="1">
        <v>9120635</v>
      </c>
      <c r="C16" s="1">
        <v>24192612</v>
      </c>
      <c r="D16" s="1">
        <v>9020635</v>
      </c>
      <c r="E16" s="1">
        <v>189359</v>
      </c>
      <c r="F16" s="1">
        <v>12389447</v>
      </c>
      <c r="G16" s="1">
        <v>9397810</v>
      </c>
      <c r="I16">
        <v>2.7409627664610743</v>
      </c>
    </row>
    <row r="17" spans="1:9" x14ac:dyDescent="0.25">
      <c r="A17" s="1">
        <v>5183016</v>
      </c>
      <c r="B17" s="1">
        <v>8787655</v>
      </c>
      <c r="C17" s="1">
        <v>19195036</v>
      </c>
      <c r="D17" s="1">
        <v>8687655</v>
      </c>
      <c r="E17" s="1">
        <v>123284</v>
      </c>
      <c r="F17" s="1">
        <v>14012020</v>
      </c>
      <c r="G17" s="1">
        <v>9587930</v>
      </c>
      <c r="I17">
        <v>2.9628113940730691</v>
      </c>
    </row>
    <row r="18" spans="1:9" x14ac:dyDescent="0.25">
      <c r="A18" s="1">
        <v>2841324</v>
      </c>
      <c r="B18" s="1">
        <v>10208886</v>
      </c>
      <c r="C18" s="1">
        <v>17581204</v>
      </c>
      <c r="D18" s="1">
        <v>10108886</v>
      </c>
      <c r="E18" s="1">
        <v>100485</v>
      </c>
      <c r="F18" s="1">
        <v>14739880</v>
      </c>
      <c r="G18" s="1">
        <v>10915048</v>
      </c>
      <c r="I18">
        <v>3.5286206292062996</v>
      </c>
    </row>
    <row r="19" spans="1:9" x14ac:dyDescent="0.25">
      <c r="A19" s="1">
        <v>2034404</v>
      </c>
      <c r="B19" s="1">
        <v>6354879</v>
      </c>
      <c r="C19" s="1">
        <v>20751230</v>
      </c>
      <c r="D19" s="1">
        <v>6254879</v>
      </c>
      <c r="E19" s="1">
        <v>326177</v>
      </c>
      <c r="F19" s="1">
        <v>18716826</v>
      </c>
      <c r="G19" s="1">
        <v>7279835</v>
      </c>
      <c r="I19">
        <v>1.9019956842511891</v>
      </c>
    </row>
    <row r="20" spans="1:9" x14ac:dyDescent="0.25">
      <c r="A20" s="1">
        <v>-1275318</v>
      </c>
      <c r="B20" s="1">
        <v>9373731</v>
      </c>
      <c r="C20" s="1">
        <v>16635128</v>
      </c>
      <c r="D20" s="1">
        <v>9273731</v>
      </c>
      <c r="E20" s="1">
        <v>231357</v>
      </c>
      <c r="F20" s="1">
        <v>17910446</v>
      </c>
      <c r="G20" s="1">
        <v>10109637</v>
      </c>
      <c r="I20">
        <v>3.1514402007386089</v>
      </c>
    </row>
    <row r="21" spans="1:9" x14ac:dyDescent="0.25">
      <c r="A21" s="1">
        <v>-5685903</v>
      </c>
      <c r="B21" s="1">
        <v>2132209</v>
      </c>
      <c r="C21" s="1">
        <v>12453407</v>
      </c>
      <c r="D21" s="1">
        <v>2032209</v>
      </c>
      <c r="E21" s="1">
        <v>308071</v>
      </c>
      <c r="F21" s="1">
        <v>18139310</v>
      </c>
      <c r="G21" s="1">
        <v>2642118</v>
      </c>
      <c r="I21">
        <v>0.45246069119870658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21"/>
  <sheetViews>
    <sheetView workbookViewId="0">
      <selection activeCell="I2" sqref="I2:I21"/>
    </sheetView>
  </sheetViews>
  <sheetFormatPr baseColWidth="10" defaultRowHeight="15" x14ac:dyDescent="0.25"/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9" x14ac:dyDescent="0.25">
      <c r="A2" s="1">
        <v>10239761</v>
      </c>
      <c r="B2" s="1">
        <v>7216077</v>
      </c>
      <c r="C2" s="1">
        <v>22323551</v>
      </c>
      <c r="D2" s="1">
        <v>7116077</v>
      </c>
      <c r="E2" s="1">
        <v>181379</v>
      </c>
      <c r="F2" s="1">
        <v>12083790</v>
      </c>
      <c r="G2" s="1">
        <v>7815880</v>
      </c>
      <c r="I2">
        <v>2.4137013131007552</v>
      </c>
    </row>
    <row r="3" spans="1:9" x14ac:dyDescent="0.25">
      <c r="A3" s="1">
        <v>-5188964</v>
      </c>
      <c r="B3" s="1">
        <v>6301456</v>
      </c>
      <c r="C3" s="1">
        <v>10585803</v>
      </c>
      <c r="D3" s="1">
        <v>6201456</v>
      </c>
      <c r="E3" s="1">
        <v>481592</v>
      </c>
      <c r="F3" s="1">
        <v>15774767</v>
      </c>
      <c r="G3" s="1">
        <v>6609908</v>
      </c>
      <c r="I3">
        <v>2.8205031999796626</v>
      </c>
    </row>
    <row r="4" spans="1:9" x14ac:dyDescent="0.25">
      <c r="A4" s="1">
        <v>7110072</v>
      </c>
      <c r="B4" s="1">
        <v>11769506</v>
      </c>
      <c r="C4" s="1">
        <v>21392423</v>
      </c>
      <c r="D4" s="1">
        <v>11669506</v>
      </c>
      <c r="E4" s="1">
        <v>432266</v>
      </c>
      <c r="F4" s="1">
        <v>14282351</v>
      </c>
      <c r="G4" s="1">
        <v>12373901</v>
      </c>
      <c r="I4">
        <v>3.5652231401503083</v>
      </c>
    </row>
    <row r="5" spans="1:9" x14ac:dyDescent="0.25">
      <c r="A5" s="1">
        <v>-4705002</v>
      </c>
      <c r="B5" s="1">
        <v>49854</v>
      </c>
      <c r="C5" s="1">
        <v>12760474</v>
      </c>
      <c r="D5" s="1">
        <v>-50146</v>
      </c>
      <c r="E5" s="1">
        <v>264554</v>
      </c>
      <c r="F5" s="1">
        <v>17465476</v>
      </c>
      <c r="G5" s="1">
        <v>1009722</v>
      </c>
      <c r="I5">
        <v>-0.36182077995873985</v>
      </c>
    </row>
    <row r="6" spans="1:9" x14ac:dyDescent="0.25">
      <c r="A6" s="1">
        <v>-8007787</v>
      </c>
      <c r="B6" s="1">
        <v>2257975</v>
      </c>
      <c r="C6" s="1">
        <v>13637467</v>
      </c>
      <c r="D6" s="1">
        <v>2157975</v>
      </c>
      <c r="E6" s="1">
        <v>225825</v>
      </c>
      <c r="F6" s="1">
        <v>21645254</v>
      </c>
      <c r="G6" s="1">
        <v>3042758</v>
      </c>
      <c r="I6">
        <v>0.27851366305351255</v>
      </c>
    </row>
    <row r="7" spans="1:9" x14ac:dyDescent="0.25">
      <c r="A7" s="1">
        <v>8443487</v>
      </c>
      <c r="B7" s="1">
        <v>7677471</v>
      </c>
      <c r="C7" s="1">
        <v>18950949</v>
      </c>
      <c r="D7" s="1">
        <v>7577471</v>
      </c>
      <c r="E7" s="1">
        <v>138883</v>
      </c>
      <c r="F7" s="1">
        <v>10507462</v>
      </c>
      <c r="G7" s="1">
        <v>8442581</v>
      </c>
      <c r="I7">
        <v>2.8743009814769027</v>
      </c>
    </row>
    <row r="8" spans="1:9" x14ac:dyDescent="0.25">
      <c r="A8" s="1">
        <v>1558033</v>
      </c>
      <c r="B8" s="1">
        <v>12929599</v>
      </c>
      <c r="C8" s="1">
        <v>17280722</v>
      </c>
      <c r="D8" s="1">
        <v>12829599</v>
      </c>
      <c r="E8" s="1">
        <v>148004</v>
      </c>
      <c r="F8" s="1">
        <v>15722689</v>
      </c>
      <c r="G8" s="1">
        <v>13402050</v>
      </c>
      <c r="I8">
        <v>4.3861017737686634</v>
      </c>
    </row>
    <row r="9" spans="1:9" x14ac:dyDescent="0.25">
      <c r="A9" s="1">
        <v>-1699302</v>
      </c>
      <c r="B9" s="1">
        <v>7321042</v>
      </c>
      <c r="C9" s="1">
        <v>12865033</v>
      </c>
      <c r="D9" s="1">
        <v>7221042</v>
      </c>
      <c r="E9" s="1">
        <v>214458</v>
      </c>
      <c r="F9" s="1">
        <v>14564335</v>
      </c>
      <c r="G9" s="1">
        <v>7683253</v>
      </c>
      <c r="I9">
        <v>3.0959086625799537</v>
      </c>
    </row>
    <row r="10" spans="1:9" x14ac:dyDescent="0.25">
      <c r="A10" s="1">
        <v>-5958196</v>
      </c>
      <c r="B10" s="1">
        <v>14219713</v>
      </c>
      <c r="C10" s="1">
        <v>16739427</v>
      </c>
      <c r="D10" s="1">
        <v>14119713</v>
      </c>
      <c r="E10" s="1">
        <v>388391</v>
      </c>
      <c r="F10" s="1">
        <v>22697623</v>
      </c>
      <c r="G10" s="1">
        <v>14444580</v>
      </c>
      <c r="I10">
        <v>4.4180014896839852</v>
      </c>
    </row>
    <row r="11" spans="1:9" x14ac:dyDescent="0.25">
      <c r="A11" s="1">
        <v>-10450267</v>
      </c>
      <c r="B11" s="1">
        <v>7723385</v>
      </c>
      <c r="C11" s="1">
        <v>14483512</v>
      </c>
      <c r="D11" s="1">
        <v>7623385</v>
      </c>
      <c r="E11" s="1">
        <v>363396</v>
      </c>
      <c r="F11" s="1">
        <v>24933779</v>
      </c>
      <c r="G11" s="1">
        <v>8287099</v>
      </c>
      <c r="I11">
        <v>2.1980202953591941</v>
      </c>
    </row>
    <row r="12" spans="1:9" x14ac:dyDescent="0.25">
      <c r="A12" s="1">
        <v>3102730</v>
      </c>
      <c r="B12" s="1">
        <v>13433304</v>
      </c>
      <c r="C12" s="1">
        <v>25517865</v>
      </c>
      <c r="D12" s="1">
        <v>13333304</v>
      </c>
      <c r="E12" s="1">
        <v>249202</v>
      </c>
      <c r="F12" s="1">
        <v>22415135</v>
      </c>
      <c r="G12" s="1">
        <v>14094108</v>
      </c>
      <c r="I12">
        <v>3.1656268653646111</v>
      </c>
    </row>
    <row r="13" spans="1:9" x14ac:dyDescent="0.25">
      <c r="A13" s="1">
        <v>-9515416</v>
      </c>
      <c r="B13" s="1">
        <v>13245123</v>
      </c>
      <c r="C13" s="1">
        <v>13415355</v>
      </c>
      <c r="D13" s="1">
        <v>13145123</v>
      </c>
      <c r="E13" s="1">
        <v>363508</v>
      </c>
      <c r="F13" s="1">
        <v>22930771</v>
      </c>
      <c r="G13" s="1">
        <v>13602386</v>
      </c>
      <c r="I13">
        <v>4.7870488924682135</v>
      </c>
    </row>
    <row r="14" spans="1:9" x14ac:dyDescent="0.25">
      <c r="A14" s="1">
        <v>9684313</v>
      </c>
      <c r="B14" s="1">
        <v>4759231</v>
      </c>
      <c r="C14" s="1">
        <v>22248542</v>
      </c>
      <c r="D14" s="1">
        <v>4659231</v>
      </c>
      <c r="E14" s="1">
        <v>344243</v>
      </c>
      <c r="F14" s="1">
        <v>12564229</v>
      </c>
      <c r="G14" s="1">
        <v>5569819</v>
      </c>
      <c r="I14">
        <v>1.7794225775897503</v>
      </c>
    </row>
    <row r="15" spans="1:9" x14ac:dyDescent="0.25">
      <c r="A15" s="1">
        <v>9067748</v>
      </c>
      <c r="B15" s="1">
        <v>6505027</v>
      </c>
      <c r="C15" s="1">
        <v>22729020</v>
      </c>
      <c r="D15" s="1">
        <v>6405027</v>
      </c>
      <c r="E15" s="1">
        <v>201039</v>
      </c>
      <c r="F15" s="1">
        <v>13661272</v>
      </c>
      <c r="G15" s="1">
        <v>7461786</v>
      </c>
      <c r="I15">
        <v>2.1461522343531252</v>
      </c>
    </row>
    <row r="16" spans="1:9" x14ac:dyDescent="0.25">
      <c r="A16" s="1">
        <v>-1118680</v>
      </c>
      <c r="B16" s="1">
        <v>13207491</v>
      </c>
      <c r="C16" s="1">
        <v>20511012</v>
      </c>
      <c r="D16" s="1">
        <v>13107491</v>
      </c>
      <c r="E16" s="1">
        <v>245968</v>
      </c>
      <c r="F16" s="1">
        <v>21629692</v>
      </c>
      <c r="G16" s="1">
        <v>14167518</v>
      </c>
      <c r="I16">
        <v>3.6417555739060044</v>
      </c>
    </row>
    <row r="17" spans="1:9" x14ac:dyDescent="0.25">
      <c r="A17" s="1">
        <v>5206084</v>
      </c>
      <c r="B17" s="1">
        <v>2402015</v>
      </c>
      <c r="C17" s="1">
        <v>21742356</v>
      </c>
      <c r="D17" s="1">
        <v>2302015</v>
      </c>
      <c r="E17" s="1">
        <v>148290</v>
      </c>
      <c r="F17" s="1">
        <v>16536272</v>
      </c>
      <c r="G17" s="1">
        <v>2694615</v>
      </c>
      <c r="I17">
        <v>0.9205845631510019</v>
      </c>
    </row>
    <row r="18" spans="1:9" x14ac:dyDescent="0.25">
      <c r="A18" s="1">
        <v>-795227</v>
      </c>
      <c r="B18" s="1">
        <v>10817831</v>
      </c>
      <c r="C18" s="1">
        <v>22192778</v>
      </c>
      <c r="D18" s="1">
        <v>10717831</v>
      </c>
      <c r="E18" s="1">
        <v>200485</v>
      </c>
      <c r="F18" s="1">
        <v>22988005</v>
      </c>
      <c r="G18" s="1">
        <v>11319869</v>
      </c>
      <c r="I18">
        <v>2.747930516809225</v>
      </c>
    </row>
    <row r="19" spans="1:9" x14ac:dyDescent="0.25">
      <c r="A19" s="1">
        <v>9567109</v>
      </c>
      <c r="B19" s="1">
        <v>2080415</v>
      </c>
      <c r="C19" s="1">
        <v>23002305</v>
      </c>
      <c r="D19" s="1">
        <v>1980415</v>
      </c>
      <c r="E19" s="1">
        <v>199289</v>
      </c>
      <c r="F19" s="1">
        <v>13435196</v>
      </c>
      <c r="G19" s="1">
        <v>2915591</v>
      </c>
      <c r="I19">
        <v>1.0453682209774851</v>
      </c>
    </row>
    <row r="20" spans="1:9" x14ac:dyDescent="0.25">
      <c r="A20" s="1">
        <v>-448492</v>
      </c>
      <c r="B20" s="1">
        <v>12111962</v>
      </c>
      <c r="C20" s="1">
        <v>15153729</v>
      </c>
      <c r="D20" s="1">
        <v>12011962</v>
      </c>
      <c r="E20" s="1">
        <v>428139</v>
      </c>
      <c r="F20" s="1">
        <v>15602221</v>
      </c>
      <c r="G20" s="1">
        <v>12570944</v>
      </c>
      <c r="I20">
        <v>4.5444855544120069</v>
      </c>
    </row>
    <row r="21" spans="1:9" x14ac:dyDescent="0.25">
      <c r="A21" s="1">
        <v>-467841</v>
      </c>
      <c r="B21" s="1">
        <v>6960226</v>
      </c>
      <c r="C21" s="1">
        <v>15805880</v>
      </c>
      <c r="D21" s="1">
        <v>6860226</v>
      </c>
      <c r="E21" s="1">
        <v>207048</v>
      </c>
      <c r="F21" s="1">
        <v>16273721</v>
      </c>
      <c r="G21" s="1">
        <v>7606049</v>
      </c>
      <c r="I21">
        <v>2.5016483642086387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I21"/>
  <sheetViews>
    <sheetView workbookViewId="0">
      <selection activeCell="I21" sqref="I2:I21"/>
    </sheetView>
  </sheetViews>
  <sheetFormatPr baseColWidth="10" defaultRowHeight="15" x14ac:dyDescent="0.25"/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9" x14ac:dyDescent="0.25">
      <c r="A2" s="1">
        <v>-4071868</v>
      </c>
      <c r="B2" s="1">
        <v>8971976</v>
      </c>
      <c r="C2" s="1">
        <v>15701038</v>
      </c>
      <c r="D2" s="1">
        <v>8871976</v>
      </c>
      <c r="E2" s="1">
        <v>203124</v>
      </c>
      <c r="F2" s="1">
        <v>19772906</v>
      </c>
      <c r="G2" s="1">
        <v>9253255</v>
      </c>
      <c r="I2">
        <v>1.7202339506149291</v>
      </c>
    </row>
    <row r="3" spans="1:9" x14ac:dyDescent="0.25">
      <c r="A3" s="1">
        <v>792206</v>
      </c>
      <c r="B3" s="1">
        <v>10563750</v>
      </c>
      <c r="C3" s="1">
        <v>22159962</v>
      </c>
      <c r="D3" s="1">
        <v>10463750</v>
      </c>
      <c r="E3" s="1">
        <v>208170</v>
      </c>
      <c r="F3" s="1">
        <v>21367756</v>
      </c>
      <c r="G3" s="1">
        <v>10921264</v>
      </c>
      <c r="I3">
        <v>1.8336303038373589</v>
      </c>
    </row>
    <row r="4" spans="1:9" x14ac:dyDescent="0.25">
      <c r="A4" s="1">
        <v>5640419</v>
      </c>
      <c r="B4" s="1">
        <v>5228828</v>
      </c>
      <c r="C4" s="1">
        <v>25743034</v>
      </c>
      <c r="D4" s="1">
        <v>5128828</v>
      </c>
      <c r="E4" s="1">
        <v>306697</v>
      </c>
      <c r="F4" s="1">
        <v>20102615</v>
      </c>
      <c r="G4" s="1">
        <v>6114153</v>
      </c>
      <c r="I4">
        <v>1.423873401157558</v>
      </c>
    </row>
    <row r="5" spans="1:9" x14ac:dyDescent="0.25">
      <c r="A5" s="1">
        <v>4210530</v>
      </c>
      <c r="B5" s="1">
        <v>8992874</v>
      </c>
      <c r="C5" s="1">
        <v>19122529</v>
      </c>
      <c r="D5" s="1">
        <v>8892874</v>
      </c>
      <c r="E5" s="1">
        <v>255600</v>
      </c>
      <c r="F5" s="1">
        <v>14911999</v>
      </c>
      <c r="G5" s="1">
        <v>9287741</v>
      </c>
      <c r="I5">
        <v>2.0519310696832833</v>
      </c>
    </row>
    <row r="6" spans="1:9" x14ac:dyDescent="0.25">
      <c r="A6" s="1">
        <v>2887233</v>
      </c>
      <c r="B6" s="1">
        <v>13147117</v>
      </c>
      <c r="C6" s="1">
        <v>21448394</v>
      </c>
      <c r="D6" s="1">
        <v>13047117</v>
      </c>
      <c r="E6" s="1">
        <v>196255</v>
      </c>
      <c r="F6" s="1">
        <v>18561161</v>
      </c>
      <c r="G6" s="1">
        <v>13543145</v>
      </c>
      <c r="I6">
        <v>2.2806800007224082</v>
      </c>
    </row>
    <row r="7" spans="1:9" x14ac:dyDescent="0.25">
      <c r="A7" s="1">
        <v>1685691</v>
      </c>
      <c r="B7" s="1">
        <v>12971148</v>
      </c>
      <c r="C7" s="1">
        <v>21322103</v>
      </c>
      <c r="D7" s="1">
        <v>12871148</v>
      </c>
      <c r="E7" s="1">
        <v>347600</v>
      </c>
      <c r="F7" s="1">
        <v>19636412</v>
      </c>
      <c r="G7" s="1">
        <v>13906952</v>
      </c>
      <c r="I7">
        <v>2.2519270801469684</v>
      </c>
    </row>
    <row r="8" spans="1:9" x14ac:dyDescent="0.25">
      <c r="A8" s="1">
        <v>-3225736</v>
      </c>
      <c r="B8" s="1">
        <v>4960797</v>
      </c>
      <c r="C8" s="1">
        <v>19580822</v>
      </c>
      <c r="D8" s="1">
        <v>4860797</v>
      </c>
      <c r="E8" s="1">
        <v>365350</v>
      </c>
      <c r="F8" s="1">
        <v>22806558</v>
      </c>
      <c r="G8" s="1">
        <v>5597803</v>
      </c>
      <c r="I8">
        <v>1.1041715009510518</v>
      </c>
    </row>
    <row r="9" spans="1:9" x14ac:dyDescent="0.25">
      <c r="A9" s="1">
        <v>3125064</v>
      </c>
      <c r="B9" s="1">
        <v>14107331</v>
      </c>
      <c r="C9" s="1">
        <v>20552628</v>
      </c>
      <c r="D9" s="1">
        <v>14007331</v>
      </c>
      <c r="E9" s="1">
        <v>296064</v>
      </c>
      <c r="F9" s="1">
        <v>17427564</v>
      </c>
      <c r="G9" s="1">
        <v>14593538</v>
      </c>
      <c r="I9">
        <v>2.50030665256083</v>
      </c>
    </row>
    <row r="10" spans="1:9" x14ac:dyDescent="0.25">
      <c r="A10" s="1">
        <v>4819843</v>
      </c>
      <c r="B10" s="1">
        <v>6813112</v>
      </c>
      <c r="C10" s="1">
        <v>23154062</v>
      </c>
      <c r="D10" s="1">
        <v>6713112</v>
      </c>
      <c r="E10" s="1">
        <v>266841</v>
      </c>
      <c r="F10" s="1">
        <v>18334219</v>
      </c>
      <c r="G10" s="1">
        <v>7410181</v>
      </c>
      <c r="I10">
        <v>1.6194977611862122</v>
      </c>
    </row>
    <row r="11" spans="1:9" x14ac:dyDescent="0.25">
      <c r="A11" s="1">
        <v>1524804</v>
      </c>
      <c r="B11" s="1">
        <v>5173541</v>
      </c>
      <c r="C11" s="1">
        <v>17658795</v>
      </c>
      <c r="D11" s="1">
        <v>5073541</v>
      </c>
      <c r="E11" s="1">
        <v>449026</v>
      </c>
      <c r="F11" s="1">
        <v>16133991</v>
      </c>
      <c r="G11" s="1">
        <v>5878212</v>
      </c>
      <c r="I11">
        <v>1.5302356764152645</v>
      </c>
    </row>
    <row r="12" spans="1:9" x14ac:dyDescent="0.25">
      <c r="A12" s="1">
        <v>-1946723</v>
      </c>
      <c r="B12" s="1">
        <v>6728620</v>
      </c>
      <c r="C12" s="1">
        <v>15406364</v>
      </c>
      <c r="D12" s="1">
        <v>6628620</v>
      </c>
      <c r="E12" s="1">
        <v>228340</v>
      </c>
      <c r="F12" s="1">
        <v>17353087</v>
      </c>
      <c r="G12" s="1">
        <v>6896293</v>
      </c>
      <c r="I12">
        <v>1.5558984540030361</v>
      </c>
    </row>
    <row r="13" spans="1:9" x14ac:dyDescent="0.25">
      <c r="A13" s="1">
        <v>1153126</v>
      </c>
      <c r="B13" s="1">
        <v>3656309</v>
      </c>
      <c r="C13" s="1">
        <v>22435472</v>
      </c>
      <c r="D13" s="1">
        <v>3556309</v>
      </c>
      <c r="E13" s="1">
        <v>370975</v>
      </c>
      <c r="F13" s="1">
        <v>21282346</v>
      </c>
      <c r="G13" s="1">
        <v>4634339</v>
      </c>
      <c r="I13">
        <v>1.1507575681805611</v>
      </c>
    </row>
    <row r="14" spans="1:9" x14ac:dyDescent="0.25">
      <c r="A14" s="1">
        <v>-2832271</v>
      </c>
      <c r="B14" s="1">
        <v>9000832</v>
      </c>
      <c r="C14" s="1">
        <v>11683026</v>
      </c>
      <c r="D14" s="1">
        <v>8900832</v>
      </c>
      <c r="E14" s="1">
        <v>107927</v>
      </c>
      <c r="F14" s="1">
        <v>14515297</v>
      </c>
      <c r="G14" s="1">
        <v>9464077</v>
      </c>
      <c r="I14">
        <v>2.227421864695847</v>
      </c>
    </row>
    <row r="15" spans="1:9" x14ac:dyDescent="0.25">
      <c r="A15" s="1">
        <v>2101397</v>
      </c>
      <c r="B15" s="1">
        <v>8502703</v>
      </c>
      <c r="C15" s="1">
        <v>20815120</v>
      </c>
      <c r="D15" s="1">
        <v>8402703</v>
      </c>
      <c r="E15" s="1">
        <v>309383</v>
      </c>
      <c r="F15" s="1">
        <v>18713723</v>
      </c>
      <c r="G15" s="1">
        <v>9212010</v>
      </c>
      <c r="I15">
        <v>1.7841979699991644</v>
      </c>
    </row>
    <row r="16" spans="1:9" x14ac:dyDescent="0.25">
      <c r="A16" s="1">
        <v>-1287452</v>
      </c>
      <c r="B16" s="1">
        <v>10478281</v>
      </c>
      <c r="C16" s="1">
        <v>17824456</v>
      </c>
      <c r="D16" s="1">
        <v>10378281</v>
      </c>
      <c r="E16" s="1">
        <v>392505</v>
      </c>
      <c r="F16" s="1">
        <v>19111908</v>
      </c>
      <c r="G16" s="1">
        <v>10742805</v>
      </c>
      <c r="I16">
        <v>2.0110938330069184</v>
      </c>
    </row>
    <row r="17" spans="1:9" x14ac:dyDescent="0.25">
      <c r="A17" s="1">
        <v>-12405719</v>
      </c>
      <c r="B17" s="1">
        <v>749472</v>
      </c>
      <c r="C17" s="1">
        <v>11625342</v>
      </c>
      <c r="D17" s="1">
        <v>649472</v>
      </c>
      <c r="E17" s="1">
        <v>485882</v>
      </c>
      <c r="F17" s="1">
        <v>24031061</v>
      </c>
      <c r="G17" s="1">
        <v>1704025</v>
      </c>
      <c r="I17">
        <v>-0.30594068379700184</v>
      </c>
    </row>
    <row r="18" spans="1:9" x14ac:dyDescent="0.25">
      <c r="A18" s="1">
        <v>-13437609</v>
      </c>
      <c r="B18" s="1">
        <v>13282127</v>
      </c>
      <c r="C18" s="1">
        <v>11413864</v>
      </c>
      <c r="D18" s="1">
        <v>13182127</v>
      </c>
      <c r="E18" s="1">
        <v>451232</v>
      </c>
      <c r="F18" s="1">
        <v>24851473</v>
      </c>
      <c r="G18" s="1">
        <v>14021717</v>
      </c>
      <c r="I18">
        <v>2.1741039518117904</v>
      </c>
    </row>
    <row r="19" spans="1:9" x14ac:dyDescent="0.25">
      <c r="A19" s="1">
        <v>7032191</v>
      </c>
      <c r="B19" s="1">
        <v>10833928</v>
      </c>
      <c r="C19" s="1">
        <v>20761346</v>
      </c>
      <c r="D19" s="1">
        <v>10733928</v>
      </c>
      <c r="E19" s="1">
        <v>108050</v>
      </c>
      <c r="F19" s="1">
        <v>13729155</v>
      </c>
      <c r="G19" s="1">
        <v>11770412</v>
      </c>
      <c r="I19">
        <v>2.3205693156868219</v>
      </c>
    </row>
    <row r="20" spans="1:9" x14ac:dyDescent="0.25">
      <c r="A20" s="1">
        <v>4585375</v>
      </c>
      <c r="B20" s="1">
        <v>3051865</v>
      </c>
      <c r="C20" s="1">
        <v>16049610</v>
      </c>
      <c r="D20" s="1">
        <v>2951865</v>
      </c>
      <c r="E20" s="1">
        <v>461580</v>
      </c>
      <c r="F20" s="1">
        <v>11464235</v>
      </c>
      <c r="G20" s="1">
        <v>3695361</v>
      </c>
      <c r="I20">
        <v>1.5339753822162747</v>
      </c>
    </row>
    <row r="21" spans="1:9" x14ac:dyDescent="0.25">
      <c r="A21" s="1">
        <v>-5673288</v>
      </c>
      <c r="B21" s="1">
        <v>9253962</v>
      </c>
      <c r="C21" s="1">
        <v>13532916</v>
      </c>
      <c r="D21" s="1">
        <v>9153962</v>
      </c>
      <c r="E21" s="1">
        <v>250839</v>
      </c>
      <c r="F21" s="1">
        <v>19206204</v>
      </c>
      <c r="G21" s="1">
        <v>9488747</v>
      </c>
      <c r="I21">
        <v>1.8158966803848742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I21"/>
  <sheetViews>
    <sheetView workbookViewId="0">
      <selection activeCell="I2" sqref="I2:I21"/>
    </sheetView>
  </sheetViews>
  <sheetFormatPr baseColWidth="10" defaultRowHeight="15" x14ac:dyDescent="0.25"/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9" x14ac:dyDescent="0.25">
      <c r="A2" s="1">
        <v>-6311341</v>
      </c>
      <c r="B2" s="1">
        <v>12219821</v>
      </c>
      <c r="C2" s="1">
        <v>14950608</v>
      </c>
      <c r="D2" s="1">
        <v>12119821</v>
      </c>
      <c r="E2" s="1">
        <v>263374</v>
      </c>
      <c r="F2" s="1">
        <v>21261949</v>
      </c>
      <c r="G2" s="1">
        <v>12774705</v>
      </c>
      <c r="I2">
        <v>4.1739169611781834</v>
      </c>
    </row>
    <row r="3" spans="1:9" x14ac:dyDescent="0.25">
      <c r="A3" s="1">
        <v>8695609</v>
      </c>
      <c r="B3" s="1">
        <v>5934684</v>
      </c>
      <c r="C3" s="1">
        <v>21803518</v>
      </c>
      <c r="D3" s="1">
        <v>5834684</v>
      </c>
      <c r="E3" s="1">
        <v>478604</v>
      </c>
      <c r="F3" s="1">
        <v>13107909</v>
      </c>
      <c r="G3" s="1">
        <v>6794410</v>
      </c>
      <c r="I3">
        <v>2.0759504548013208</v>
      </c>
    </row>
    <row r="4" spans="1:9" x14ac:dyDescent="0.25">
      <c r="A4" s="1">
        <v>11842621</v>
      </c>
      <c r="B4" s="1">
        <v>5946111</v>
      </c>
      <c r="C4" s="1">
        <v>23514900</v>
      </c>
      <c r="D4" s="1">
        <v>5846111</v>
      </c>
      <c r="E4" s="1">
        <v>445298</v>
      </c>
      <c r="F4" s="1">
        <v>11672279</v>
      </c>
      <c r="G4" s="1">
        <v>6142666</v>
      </c>
      <c r="I4">
        <v>2.0626346048116684</v>
      </c>
    </row>
    <row r="5" spans="1:9" x14ac:dyDescent="0.25">
      <c r="A5" s="1">
        <v>4948429</v>
      </c>
      <c r="B5" s="1">
        <v>6452618</v>
      </c>
      <c r="C5" s="1">
        <v>23486157</v>
      </c>
      <c r="D5" s="1">
        <v>6352618</v>
      </c>
      <c r="E5" s="1">
        <v>323819</v>
      </c>
      <c r="F5" s="1">
        <v>18537728</v>
      </c>
      <c r="G5" s="1">
        <v>6902284</v>
      </c>
      <c r="I5">
        <v>1.8341425210833548</v>
      </c>
    </row>
    <row r="6" spans="1:9" x14ac:dyDescent="0.25">
      <c r="A6" s="1">
        <v>-1437436</v>
      </c>
      <c r="B6" s="1">
        <v>9825695</v>
      </c>
      <c r="C6" s="1">
        <v>23468782</v>
      </c>
      <c r="D6" s="1">
        <v>9725695</v>
      </c>
      <c r="E6" s="1">
        <v>182774</v>
      </c>
      <c r="F6" s="1">
        <v>24906218</v>
      </c>
      <c r="G6" s="1">
        <v>9941860</v>
      </c>
      <c r="I6">
        <v>2.3077932580672202</v>
      </c>
    </row>
    <row r="7" spans="1:9" x14ac:dyDescent="0.25">
      <c r="A7" s="1">
        <v>2658190</v>
      </c>
      <c r="B7" s="1">
        <v>5882746</v>
      </c>
      <c r="C7" s="1">
        <v>24548838</v>
      </c>
      <c r="D7" s="1">
        <v>5782746</v>
      </c>
      <c r="E7" s="1">
        <v>189074</v>
      </c>
      <c r="F7" s="1">
        <v>21890648</v>
      </c>
      <c r="G7" s="1">
        <v>6665520</v>
      </c>
      <c r="I7">
        <v>1.519208691239357</v>
      </c>
    </row>
    <row r="8" spans="1:9" x14ac:dyDescent="0.25">
      <c r="A8" s="1">
        <v>-3107811</v>
      </c>
      <c r="B8" s="1">
        <v>13189767</v>
      </c>
      <c r="C8" s="1">
        <v>15253511</v>
      </c>
      <c r="D8" s="1">
        <v>13089767</v>
      </c>
      <c r="E8" s="1">
        <v>215518</v>
      </c>
      <c r="F8" s="1">
        <v>18361322</v>
      </c>
      <c r="G8" s="1">
        <v>14021906</v>
      </c>
      <c r="I8">
        <v>4.7233609706982964</v>
      </c>
    </row>
    <row r="9" spans="1:9" x14ac:dyDescent="0.25">
      <c r="A9" s="1">
        <v>-3924307</v>
      </c>
      <c r="B9" s="1">
        <v>2011386</v>
      </c>
      <c r="C9" s="1">
        <v>20764602</v>
      </c>
      <c r="D9" s="1">
        <v>1911386</v>
      </c>
      <c r="E9" s="1">
        <v>231851</v>
      </c>
      <c r="F9" s="1">
        <v>24688909</v>
      </c>
      <c r="G9" s="1">
        <v>2140499</v>
      </c>
      <c r="I9">
        <v>0.32120544031262394</v>
      </c>
    </row>
    <row r="10" spans="1:9" x14ac:dyDescent="0.25">
      <c r="A10" s="1">
        <v>-299386</v>
      </c>
      <c r="B10" s="1">
        <v>9935835</v>
      </c>
      <c r="C10" s="1">
        <v>16359826</v>
      </c>
      <c r="D10" s="1">
        <v>9835835</v>
      </c>
      <c r="E10" s="1">
        <v>113945</v>
      </c>
      <c r="F10" s="1">
        <v>16659212</v>
      </c>
      <c r="G10" s="1">
        <v>10043809</v>
      </c>
      <c r="I10">
        <v>3.4297471091039475</v>
      </c>
    </row>
    <row r="11" spans="1:9" x14ac:dyDescent="0.25">
      <c r="A11" s="1">
        <v>3215388</v>
      </c>
      <c r="B11" s="1">
        <v>10563993</v>
      </c>
      <c r="C11" s="1">
        <v>22907859</v>
      </c>
      <c r="D11" s="1">
        <v>10463993</v>
      </c>
      <c r="E11" s="1">
        <v>160618</v>
      </c>
      <c r="F11" s="1">
        <v>19692471</v>
      </c>
      <c r="G11" s="1">
        <v>11242611</v>
      </c>
      <c r="I11">
        <v>2.8166187588870524</v>
      </c>
    </row>
    <row r="12" spans="1:9" x14ac:dyDescent="0.25">
      <c r="A12" s="1">
        <v>-1382090</v>
      </c>
      <c r="B12" s="1">
        <v>11377713</v>
      </c>
      <c r="C12" s="1">
        <v>19613743</v>
      </c>
      <c r="D12" s="1">
        <v>11277713</v>
      </c>
      <c r="E12" s="1">
        <v>436345</v>
      </c>
      <c r="F12" s="1">
        <v>20995833</v>
      </c>
      <c r="G12" s="1">
        <v>11890815</v>
      </c>
      <c r="I12">
        <v>3.2431462643593547</v>
      </c>
    </row>
    <row r="13" spans="1:9" x14ac:dyDescent="0.25">
      <c r="A13" s="1">
        <v>-5527357</v>
      </c>
      <c r="B13" s="1">
        <v>2634310</v>
      </c>
      <c r="C13" s="1">
        <v>17167143</v>
      </c>
      <c r="D13" s="1">
        <v>2534310</v>
      </c>
      <c r="E13" s="1">
        <v>225513</v>
      </c>
      <c r="F13" s="1">
        <v>22694500</v>
      </c>
      <c r="G13" s="1">
        <v>3438036</v>
      </c>
      <c r="I13">
        <v>0.52165811944007867</v>
      </c>
    </row>
    <row r="14" spans="1:9" x14ac:dyDescent="0.25">
      <c r="A14" s="1">
        <v>8428979</v>
      </c>
      <c r="B14" s="1">
        <v>5310524</v>
      </c>
      <c r="C14" s="1">
        <v>18437602</v>
      </c>
      <c r="D14" s="1">
        <v>5210524</v>
      </c>
      <c r="E14" s="1">
        <v>184084</v>
      </c>
      <c r="F14" s="1">
        <v>10008623</v>
      </c>
      <c r="G14" s="1">
        <v>5946934</v>
      </c>
      <c r="I14">
        <v>2.217679562449455</v>
      </c>
    </row>
    <row r="15" spans="1:9" x14ac:dyDescent="0.25">
      <c r="A15" s="1">
        <v>8631307</v>
      </c>
      <c r="B15" s="1">
        <v>4043264</v>
      </c>
      <c r="C15" s="1">
        <v>20863713</v>
      </c>
      <c r="D15" s="1">
        <v>3943264</v>
      </c>
      <c r="E15" s="1">
        <v>216505</v>
      </c>
      <c r="F15" s="1">
        <v>12232406</v>
      </c>
      <c r="G15" s="1">
        <v>5041157</v>
      </c>
      <c r="I15">
        <v>1.6434557838886976</v>
      </c>
    </row>
    <row r="16" spans="1:9" x14ac:dyDescent="0.25">
      <c r="A16" s="1">
        <v>-2713308</v>
      </c>
      <c r="B16" s="1">
        <v>7931167</v>
      </c>
      <c r="C16" s="1">
        <v>10681783</v>
      </c>
      <c r="D16" s="1">
        <v>7831167</v>
      </c>
      <c r="E16" s="1">
        <v>434862</v>
      </c>
      <c r="F16" s="1">
        <v>13395091</v>
      </c>
      <c r="G16" s="1">
        <v>8042661</v>
      </c>
      <c r="I16">
        <v>3.9256742382049561</v>
      </c>
    </row>
    <row r="17" spans="1:9" x14ac:dyDescent="0.25">
      <c r="A17" s="1">
        <v>-9895761</v>
      </c>
      <c r="B17" s="1">
        <v>14437013</v>
      </c>
      <c r="C17" s="1">
        <v>12930169</v>
      </c>
      <c r="D17" s="1">
        <v>14337013</v>
      </c>
      <c r="E17" s="1">
        <v>351564</v>
      </c>
      <c r="F17" s="1">
        <v>22825930</v>
      </c>
      <c r="G17" s="1">
        <v>14865971</v>
      </c>
      <c r="I17">
        <v>5.4616181977540252</v>
      </c>
    </row>
    <row r="18" spans="1:9" x14ac:dyDescent="0.25">
      <c r="A18" s="1">
        <v>4022732</v>
      </c>
      <c r="B18" s="1">
        <v>11162302</v>
      </c>
      <c r="C18" s="1">
        <v>20967235</v>
      </c>
      <c r="D18" s="1">
        <v>11062302</v>
      </c>
      <c r="E18" s="1">
        <v>110548</v>
      </c>
      <c r="F18" s="1">
        <v>16944503</v>
      </c>
      <c r="G18" s="1">
        <v>11673279</v>
      </c>
      <c r="I18">
        <v>3.2767208650857209</v>
      </c>
    </row>
    <row r="19" spans="1:9" x14ac:dyDescent="0.25">
      <c r="A19" s="1">
        <v>-6873012</v>
      </c>
      <c r="B19" s="1">
        <v>1468236</v>
      </c>
      <c r="C19" s="1">
        <v>16714157</v>
      </c>
      <c r="D19" s="1">
        <v>1368236</v>
      </c>
      <c r="E19" s="1">
        <v>103916</v>
      </c>
      <c r="F19" s="1">
        <v>23587169</v>
      </c>
      <c r="G19" s="1">
        <v>1876747</v>
      </c>
      <c r="I19">
        <v>1.4487535722553726E-2</v>
      </c>
    </row>
    <row r="20" spans="1:9" x14ac:dyDescent="0.25">
      <c r="A20" s="1">
        <v>-8261638</v>
      </c>
      <c r="B20" s="1">
        <v>11544410</v>
      </c>
      <c r="C20" s="1">
        <v>11630330</v>
      </c>
      <c r="D20" s="1">
        <v>11444410</v>
      </c>
      <c r="E20" s="1">
        <v>226878</v>
      </c>
      <c r="F20" s="1">
        <v>19891968</v>
      </c>
      <c r="G20" s="1">
        <v>11879381</v>
      </c>
      <c r="I20">
        <v>4.8117167008593675</v>
      </c>
    </row>
    <row r="21" spans="1:9" x14ac:dyDescent="0.25">
      <c r="A21" s="1">
        <v>-225852</v>
      </c>
      <c r="B21" s="1">
        <v>1566182</v>
      </c>
      <c r="C21" s="1">
        <v>19721372</v>
      </c>
      <c r="D21" s="1">
        <v>1466182</v>
      </c>
      <c r="E21" s="1">
        <v>478732</v>
      </c>
      <c r="F21" s="1">
        <v>19947224</v>
      </c>
      <c r="G21" s="1">
        <v>2268761</v>
      </c>
      <c r="I21">
        <v>0.47210266549140212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I21"/>
  <sheetViews>
    <sheetView topLeftCell="A2" workbookViewId="0">
      <selection activeCell="I2" sqref="I2:I21"/>
    </sheetView>
  </sheetViews>
  <sheetFormatPr baseColWidth="10" defaultRowHeight="15" x14ac:dyDescent="0.25"/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9" x14ac:dyDescent="0.25">
      <c r="A2" s="1">
        <v>-2952448</v>
      </c>
      <c r="B2" s="1">
        <v>6526653</v>
      </c>
      <c r="C2" s="1">
        <v>17329098</v>
      </c>
      <c r="D2" s="1">
        <v>6426653</v>
      </c>
      <c r="E2" s="1">
        <v>295961</v>
      </c>
      <c r="F2" s="1">
        <v>20281546</v>
      </c>
      <c r="G2" s="1">
        <v>7420602</v>
      </c>
      <c r="I2">
        <v>1.9832099168300628</v>
      </c>
    </row>
    <row r="3" spans="1:9" x14ac:dyDescent="0.25">
      <c r="A3" s="1">
        <v>1543361</v>
      </c>
      <c r="B3" s="1">
        <v>6638859</v>
      </c>
      <c r="C3" s="1">
        <v>21352018</v>
      </c>
      <c r="D3" s="1">
        <v>6538859</v>
      </c>
      <c r="E3" s="1">
        <v>223577</v>
      </c>
      <c r="F3" s="1">
        <v>19808657</v>
      </c>
      <c r="G3" s="1">
        <v>7089111</v>
      </c>
      <c r="I3">
        <v>1.8710779732093215</v>
      </c>
    </row>
    <row r="4" spans="1:9" x14ac:dyDescent="0.25">
      <c r="A4" s="1">
        <v>-5243746</v>
      </c>
      <c r="B4" s="1">
        <v>9332375</v>
      </c>
      <c r="C4" s="1">
        <v>19695101</v>
      </c>
      <c r="D4" s="1">
        <v>9232375</v>
      </c>
      <c r="E4" s="1">
        <v>494116</v>
      </c>
      <c r="F4" s="1">
        <v>24938847</v>
      </c>
      <c r="G4" s="1">
        <v>9470754</v>
      </c>
      <c r="I4">
        <v>2.3830842909663916</v>
      </c>
    </row>
    <row r="5" spans="1:9" x14ac:dyDescent="0.25">
      <c r="A5" s="1">
        <v>-10634262</v>
      </c>
      <c r="B5" s="1">
        <v>6572345</v>
      </c>
      <c r="C5" s="1">
        <v>12962398</v>
      </c>
      <c r="D5" s="1">
        <v>6472345</v>
      </c>
      <c r="E5" s="1">
        <v>274535</v>
      </c>
      <c r="F5" s="1">
        <v>23596660</v>
      </c>
      <c r="G5" s="1">
        <v>7083771</v>
      </c>
      <c r="I5">
        <v>1.9260387958735226</v>
      </c>
    </row>
    <row r="6" spans="1:9" x14ac:dyDescent="0.25">
      <c r="A6" s="1">
        <v>5675282</v>
      </c>
      <c r="B6" s="1">
        <v>8399156</v>
      </c>
      <c r="C6" s="1">
        <v>17984770</v>
      </c>
      <c r="D6" s="1">
        <v>8299156</v>
      </c>
      <c r="E6" s="1">
        <v>464276</v>
      </c>
      <c r="F6" s="1">
        <v>12309488</v>
      </c>
      <c r="G6" s="1">
        <v>8596679</v>
      </c>
      <c r="I6">
        <v>3.05544368276</v>
      </c>
    </row>
    <row r="7" spans="1:9" x14ac:dyDescent="0.25">
      <c r="A7" s="1">
        <v>5912342</v>
      </c>
      <c r="B7" s="1">
        <v>13029767</v>
      </c>
      <c r="C7" s="1">
        <v>17336875</v>
      </c>
      <c r="D7" s="1">
        <v>12929767</v>
      </c>
      <c r="E7" s="1">
        <v>170608</v>
      </c>
      <c r="F7" s="1">
        <v>11424533</v>
      </c>
      <c r="G7" s="1">
        <v>13766054</v>
      </c>
      <c r="I7">
        <v>4.7247464381530877</v>
      </c>
    </row>
    <row r="8" spans="1:9" x14ac:dyDescent="0.25">
      <c r="A8" s="1">
        <v>-1273462</v>
      </c>
      <c r="B8" s="1">
        <v>2532301</v>
      </c>
      <c r="C8" s="1">
        <v>14262889</v>
      </c>
      <c r="D8" s="1">
        <v>2432301</v>
      </c>
      <c r="E8" s="1">
        <v>302741</v>
      </c>
      <c r="F8" s="1">
        <v>15536351</v>
      </c>
      <c r="G8" s="1">
        <v>3461521</v>
      </c>
      <c r="I8">
        <v>0.9583244590461254</v>
      </c>
    </row>
    <row r="9" spans="1:9" x14ac:dyDescent="0.25">
      <c r="A9" s="1">
        <v>-2703333</v>
      </c>
      <c r="B9" s="1">
        <v>5781080</v>
      </c>
      <c r="C9" s="1">
        <v>13847753</v>
      </c>
      <c r="D9" s="1">
        <v>5681080</v>
      </c>
      <c r="E9" s="1">
        <v>144752</v>
      </c>
      <c r="F9" s="1">
        <v>16551086</v>
      </c>
      <c r="G9" s="1">
        <v>5983331</v>
      </c>
      <c r="I9">
        <v>2.1409314316809178</v>
      </c>
    </row>
    <row r="10" spans="1:9" x14ac:dyDescent="0.25">
      <c r="A10" s="1">
        <v>11531803</v>
      </c>
      <c r="B10" s="1">
        <v>13246470</v>
      </c>
      <c r="C10" s="1">
        <v>24683986</v>
      </c>
      <c r="D10" s="1">
        <v>13146470</v>
      </c>
      <c r="E10" s="1">
        <v>303524</v>
      </c>
      <c r="F10" s="1">
        <v>13152183</v>
      </c>
      <c r="G10" s="1">
        <v>13955952</v>
      </c>
      <c r="I10">
        <v>3.6481288003027439</v>
      </c>
    </row>
    <row r="11" spans="1:9" x14ac:dyDescent="0.25">
      <c r="A11" s="1">
        <v>-127677</v>
      </c>
      <c r="B11" s="1">
        <v>4905012</v>
      </c>
      <c r="C11" s="1">
        <v>20800746</v>
      </c>
      <c r="D11" s="1">
        <v>4805012</v>
      </c>
      <c r="E11" s="1">
        <v>463601</v>
      </c>
      <c r="F11" s="1">
        <v>20928423</v>
      </c>
      <c r="G11" s="1">
        <v>5554072</v>
      </c>
      <c r="I11">
        <v>1.3651109347715973</v>
      </c>
    </row>
    <row r="12" spans="1:9" x14ac:dyDescent="0.25">
      <c r="A12" s="1">
        <v>-1120625</v>
      </c>
      <c r="B12" s="1">
        <v>9730429</v>
      </c>
      <c r="C12" s="1">
        <v>12657304</v>
      </c>
      <c r="D12" s="1">
        <v>9630429</v>
      </c>
      <c r="E12" s="1">
        <v>416987</v>
      </c>
      <c r="F12" s="1">
        <v>13777929</v>
      </c>
      <c r="G12" s="1">
        <v>10256672</v>
      </c>
      <c r="I12">
        <v>4.3085419562608003</v>
      </c>
    </row>
    <row r="13" spans="1:9" x14ac:dyDescent="0.25">
      <c r="A13" s="1">
        <v>2649626</v>
      </c>
      <c r="B13" s="1">
        <v>5619720</v>
      </c>
      <c r="C13" s="1">
        <v>16789369</v>
      </c>
      <c r="D13" s="1">
        <v>5519720</v>
      </c>
      <c r="E13" s="1">
        <v>158010</v>
      </c>
      <c r="F13" s="1">
        <v>14139743</v>
      </c>
      <c r="G13" s="1">
        <v>5972295</v>
      </c>
      <c r="I13">
        <v>2.1049708425626159</v>
      </c>
    </row>
    <row r="14" spans="1:9" x14ac:dyDescent="0.25">
      <c r="A14" s="1">
        <v>190510</v>
      </c>
      <c r="B14" s="1">
        <v>701461</v>
      </c>
      <c r="C14" s="1">
        <v>15147681</v>
      </c>
      <c r="D14" s="1">
        <v>601461</v>
      </c>
      <c r="E14" s="1">
        <v>117172</v>
      </c>
      <c r="F14" s="1">
        <v>14957171</v>
      </c>
      <c r="G14" s="1">
        <v>1071900</v>
      </c>
      <c r="I14">
        <v>0.2863478150963783</v>
      </c>
    </row>
    <row r="15" spans="1:9" x14ac:dyDescent="0.25">
      <c r="A15" s="1">
        <v>9346037</v>
      </c>
      <c r="B15" s="1">
        <v>13186318</v>
      </c>
      <c r="C15" s="1">
        <v>19394753</v>
      </c>
      <c r="D15" s="1">
        <v>13086318</v>
      </c>
      <c r="E15" s="1">
        <v>317675</v>
      </c>
      <c r="F15" s="1">
        <v>10048716</v>
      </c>
      <c r="G15" s="1">
        <v>13907812</v>
      </c>
      <c r="I15">
        <v>4.4920773104429239</v>
      </c>
    </row>
    <row r="16" spans="1:9" x14ac:dyDescent="0.25">
      <c r="A16" s="1">
        <v>-7959666</v>
      </c>
      <c r="B16" s="1">
        <v>8159588</v>
      </c>
      <c r="C16" s="1">
        <v>12550453</v>
      </c>
      <c r="D16" s="1">
        <v>8059588</v>
      </c>
      <c r="E16" s="1">
        <v>448773</v>
      </c>
      <c r="F16" s="1">
        <v>20510119</v>
      </c>
      <c r="G16" s="1">
        <v>8465488</v>
      </c>
      <c r="I16">
        <v>2.9552920741587876</v>
      </c>
    </row>
    <row r="17" spans="1:9" x14ac:dyDescent="0.25">
      <c r="A17" s="1">
        <v>-12912119</v>
      </c>
      <c r="B17" s="1">
        <v>8507030</v>
      </c>
      <c r="C17" s="1">
        <v>11007748</v>
      </c>
      <c r="D17" s="1">
        <v>8407030</v>
      </c>
      <c r="E17" s="1">
        <v>481935</v>
      </c>
      <c r="F17" s="1">
        <v>23919867</v>
      </c>
      <c r="G17" s="1">
        <v>9227676</v>
      </c>
      <c r="I17">
        <v>3.0442208228856322</v>
      </c>
    </row>
    <row r="18" spans="1:9" x14ac:dyDescent="0.25">
      <c r="A18" s="1">
        <v>5220520</v>
      </c>
      <c r="B18" s="1">
        <v>3143929</v>
      </c>
      <c r="C18" s="1">
        <v>21746643</v>
      </c>
      <c r="D18" s="1">
        <v>3043929</v>
      </c>
      <c r="E18" s="1">
        <v>278393</v>
      </c>
      <c r="F18" s="1">
        <v>16526123</v>
      </c>
      <c r="G18" s="1">
        <v>4047922</v>
      </c>
      <c r="I18">
        <v>1.1484423205405474</v>
      </c>
    </row>
    <row r="19" spans="1:9" x14ac:dyDescent="0.25">
      <c r="A19" s="1">
        <v>-3704886</v>
      </c>
      <c r="B19" s="1">
        <v>7581114</v>
      </c>
      <c r="C19" s="1">
        <v>20640504</v>
      </c>
      <c r="D19" s="1">
        <v>7481114</v>
      </c>
      <c r="E19" s="1">
        <v>223073</v>
      </c>
      <c r="F19" s="1">
        <v>24345390</v>
      </c>
      <c r="G19" s="1">
        <v>7889934</v>
      </c>
      <c r="I19">
        <v>1.8822646633982658</v>
      </c>
    </row>
    <row r="20" spans="1:9" x14ac:dyDescent="0.25">
      <c r="A20" s="1">
        <v>1331058</v>
      </c>
      <c r="B20" s="1">
        <v>5193889</v>
      </c>
      <c r="C20" s="1">
        <v>15605653</v>
      </c>
      <c r="D20" s="1">
        <v>5093889</v>
      </c>
      <c r="E20" s="1">
        <v>260482</v>
      </c>
      <c r="F20" s="1">
        <v>14274595</v>
      </c>
      <c r="G20" s="1">
        <v>5580003</v>
      </c>
      <c r="I20">
        <v>2.0136186511516572</v>
      </c>
    </row>
    <row r="21" spans="1:9" x14ac:dyDescent="0.25">
      <c r="A21" s="1">
        <v>575770</v>
      </c>
      <c r="B21" s="1">
        <v>5416779</v>
      </c>
      <c r="C21" s="1">
        <v>15557689</v>
      </c>
      <c r="D21" s="1">
        <v>5316779</v>
      </c>
      <c r="E21" s="1">
        <v>406955</v>
      </c>
      <c r="F21" s="1">
        <v>14981919</v>
      </c>
      <c r="G21" s="1">
        <v>5874074</v>
      </c>
      <c r="I21">
        <v>2.0531032706052064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K101"/>
  <sheetViews>
    <sheetView topLeftCell="E1" workbookViewId="0">
      <selection activeCell="K1" sqref="K1:L101"/>
    </sheetView>
  </sheetViews>
  <sheetFormatPr baseColWidth="10" defaultRowHeight="15" x14ac:dyDescent="0.25"/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s="1" t="s">
        <v>7</v>
      </c>
      <c r="K1" s="1" t="s">
        <v>8</v>
      </c>
    </row>
    <row r="2" spans="1:11" x14ac:dyDescent="0.25">
      <c r="A2" s="1">
        <v>-12669592</v>
      </c>
      <c r="B2" s="1">
        <v>10220287</v>
      </c>
      <c r="C2" s="1">
        <v>11602297</v>
      </c>
      <c r="D2" s="1">
        <v>10120287</v>
      </c>
      <c r="E2" s="1">
        <v>356403</v>
      </c>
      <c r="F2" s="1">
        <v>24271889</v>
      </c>
      <c r="G2" s="1">
        <v>10632838</v>
      </c>
      <c r="I2">
        <f>[1]!Module2.score_Altman(A2,B2,C2,D2,E2,F2,G2)</f>
        <v>3.725664209708571</v>
      </c>
      <c r="K2" t="s">
        <v>9</v>
      </c>
    </row>
    <row r="3" spans="1:11" x14ac:dyDescent="0.25">
      <c r="A3" s="1">
        <v>25099</v>
      </c>
      <c r="B3" s="1">
        <v>4788760</v>
      </c>
      <c r="C3" s="1">
        <v>13566555</v>
      </c>
      <c r="D3" s="1">
        <v>4688760</v>
      </c>
      <c r="E3" s="1">
        <v>304782</v>
      </c>
      <c r="F3" s="1">
        <v>13541456</v>
      </c>
      <c r="G3" s="1">
        <v>5057196</v>
      </c>
      <c r="I3">
        <f>[1]!Module2.score_Altman(A3,B3,C3,D3,E3,F3,G3)</f>
        <v>2.0228155059292909</v>
      </c>
      <c r="K3" t="s">
        <v>10</v>
      </c>
    </row>
    <row r="4" spans="1:11" x14ac:dyDescent="0.25">
      <c r="A4" s="1">
        <v>5697159</v>
      </c>
      <c r="B4" s="1">
        <v>3196660</v>
      </c>
      <c r="C4" s="1">
        <v>24032434</v>
      </c>
      <c r="D4" s="1">
        <v>3096660</v>
      </c>
      <c r="E4" s="1">
        <v>123104</v>
      </c>
      <c r="F4" s="1">
        <v>18335275</v>
      </c>
      <c r="G4" s="1">
        <v>3669992</v>
      </c>
      <c r="I4">
        <f>[1]!Module2.score_Altman(A4,B4,C4,D4,E4,F4,G4)</f>
        <v>1.0524954788647591</v>
      </c>
      <c r="K4" t="s">
        <v>11</v>
      </c>
    </row>
    <row r="5" spans="1:11" x14ac:dyDescent="0.25">
      <c r="A5" s="1">
        <v>115702</v>
      </c>
      <c r="B5" s="1">
        <v>13625272</v>
      </c>
      <c r="C5" s="1">
        <v>14446232</v>
      </c>
      <c r="D5" s="1">
        <v>13525272</v>
      </c>
      <c r="E5" s="1">
        <v>476972</v>
      </c>
      <c r="F5" s="1">
        <v>14330530</v>
      </c>
      <c r="G5" s="1">
        <v>14166333</v>
      </c>
      <c r="I5">
        <f>[1]!Module2.score_Altman(A5,B5,C5,D5,E5,F5,G5)</f>
        <v>5.4192873244583604</v>
      </c>
      <c r="K5" t="s">
        <v>9</v>
      </c>
    </row>
    <row r="6" spans="1:11" x14ac:dyDescent="0.25">
      <c r="A6" s="1">
        <v>3816720</v>
      </c>
      <c r="B6" s="1">
        <v>9331367</v>
      </c>
      <c r="C6" s="1">
        <v>16832148</v>
      </c>
      <c r="D6" s="1">
        <v>9231367</v>
      </c>
      <c r="E6" s="1">
        <v>309696</v>
      </c>
      <c r="F6" s="1">
        <v>13015428</v>
      </c>
      <c r="G6" s="1">
        <v>10023146</v>
      </c>
      <c r="I6">
        <f>[1]!Module2.score_Altman(A6,B6,C6,D6,E6,F6,G6)</f>
        <v>3.4672293988615275</v>
      </c>
      <c r="K6" t="s">
        <v>9</v>
      </c>
    </row>
    <row r="7" spans="1:11" x14ac:dyDescent="0.25">
      <c r="A7" s="1">
        <v>14124528</v>
      </c>
      <c r="B7" s="1">
        <v>7460138</v>
      </c>
      <c r="C7" s="1">
        <v>24258979</v>
      </c>
      <c r="D7" s="1">
        <v>7360138</v>
      </c>
      <c r="E7" s="1">
        <v>458504</v>
      </c>
      <c r="F7" s="1">
        <v>10134451</v>
      </c>
      <c r="G7" s="1">
        <v>8241103</v>
      </c>
      <c r="I7">
        <f>[1]!Module2.score_Altman(A7,B7,C7,D7,E7,F7,G7)</f>
        <v>2.4969500305056571</v>
      </c>
      <c r="K7" t="s">
        <v>10</v>
      </c>
    </row>
    <row r="8" spans="1:11" x14ac:dyDescent="0.25">
      <c r="A8" s="1">
        <v>1559563</v>
      </c>
      <c r="B8" s="1">
        <v>8221100</v>
      </c>
      <c r="C8" s="1">
        <v>19201074</v>
      </c>
      <c r="D8" s="1">
        <v>8121100</v>
      </c>
      <c r="E8" s="1">
        <v>410821</v>
      </c>
      <c r="F8" s="1">
        <v>17641511</v>
      </c>
      <c r="G8" s="1">
        <v>8583139</v>
      </c>
      <c r="I8">
        <f>[1]!Module2.score_Altman(A8,B8,C8,D8,E8,F8,G8)</f>
        <v>2.5531636898517607</v>
      </c>
      <c r="K8" t="s">
        <v>10</v>
      </c>
    </row>
    <row r="9" spans="1:11" x14ac:dyDescent="0.25">
      <c r="A9" s="1">
        <v>7220041</v>
      </c>
      <c r="B9" s="1">
        <v>3141192</v>
      </c>
      <c r="C9" s="1">
        <v>19726999</v>
      </c>
      <c r="D9" s="1">
        <v>3041192</v>
      </c>
      <c r="E9" s="1">
        <v>113888</v>
      </c>
      <c r="F9" s="1">
        <v>12506958</v>
      </c>
      <c r="G9" s="1">
        <v>3469461</v>
      </c>
      <c r="I9">
        <f>[1]!Module2.score_Altman(A9,B9,C9,D9,E9,F9,G9)</f>
        <v>1.352026329025626</v>
      </c>
      <c r="K9" t="s">
        <v>11</v>
      </c>
    </row>
    <row r="10" spans="1:11" x14ac:dyDescent="0.25">
      <c r="A10" s="1">
        <v>-7705792</v>
      </c>
      <c r="B10" s="1">
        <v>6297910</v>
      </c>
      <c r="C10" s="1">
        <v>13749043</v>
      </c>
      <c r="D10" s="1">
        <v>6197910</v>
      </c>
      <c r="E10" s="1">
        <v>223844</v>
      </c>
      <c r="F10" s="1">
        <v>21454835</v>
      </c>
      <c r="G10" s="1">
        <v>7004684</v>
      </c>
      <c r="I10">
        <f>[1]!Module2.score_Altman(A10,B10,C10,D10,E10,F10,G10)</f>
        <v>1.9715534928888081</v>
      </c>
      <c r="K10" t="s">
        <v>10</v>
      </c>
    </row>
    <row r="11" spans="1:11" x14ac:dyDescent="0.25">
      <c r="A11" s="1">
        <v>-5770669</v>
      </c>
      <c r="B11" s="1">
        <v>10843396</v>
      </c>
      <c r="C11" s="1">
        <v>13446647</v>
      </c>
      <c r="D11" s="1">
        <v>10743396</v>
      </c>
      <c r="E11" s="1">
        <v>293434</v>
      </c>
      <c r="F11" s="1">
        <v>19217316</v>
      </c>
      <c r="G11" s="1">
        <v>11620394</v>
      </c>
      <c r="I11">
        <f>[1]!Module2.score_Altman(A11,B11,C11,D11,E11,F11,G11)</f>
        <v>4.1230445728898051</v>
      </c>
      <c r="K11" t="s">
        <v>9</v>
      </c>
    </row>
    <row r="12" spans="1:11" x14ac:dyDescent="0.25">
      <c r="A12" s="1">
        <v>162202</v>
      </c>
      <c r="B12" s="1">
        <v>2707649</v>
      </c>
      <c r="C12" s="1">
        <v>23575056</v>
      </c>
      <c r="D12" s="1">
        <v>2607649</v>
      </c>
      <c r="E12" s="1">
        <v>245758</v>
      </c>
      <c r="F12" s="1">
        <v>23412854</v>
      </c>
      <c r="G12" s="1">
        <v>3471145</v>
      </c>
      <c r="I12">
        <f>[1]!Module2.score_Altman(A12,B12,C12,D12,E12,F12,G12)</f>
        <v>0.68745299649238578</v>
      </c>
      <c r="K12" t="s">
        <v>11</v>
      </c>
    </row>
    <row r="13" spans="1:11" x14ac:dyDescent="0.25">
      <c r="A13" s="1">
        <v>10279145</v>
      </c>
      <c r="B13" s="1">
        <v>4100015</v>
      </c>
      <c r="C13" s="1">
        <v>20671895</v>
      </c>
      <c r="D13" s="1">
        <v>4000015</v>
      </c>
      <c r="E13" s="1">
        <v>340240</v>
      </c>
      <c r="F13" s="1">
        <v>10392750</v>
      </c>
      <c r="G13" s="1">
        <v>4899009</v>
      </c>
      <c r="I13">
        <f>[1]!Module2.score_Altman(A13,B13,C13,D13,E13,F13,G13)</f>
        <v>1.7693205572217703</v>
      </c>
      <c r="K13" t="s">
        <v>11</v>
      </c>
    </row>
    <row r="14" spans="1:11" x14ac:dyDescent="0.25">
      <c r="A14" s="1">
        <v>-816657</v>
      </c>
      <c r="B14" s="1">
        <v>3314632</v>
      </c>
      <c r="C14" s="1">
        <v>15620529</v>
      </c>
      <c r="D14" s="1">
        <v>3214632</v>
      </c>
      <c r="E14" s="1">
        <v>223387</v>
      </c>
      <c r="F14" s="1">
        <v>16437186</v>
      </c>
      <c r="G14" s="1">
        <v>4061840</v>
      </c>
      <c r="I14">
        <f>[1]!Module2.score_Altman(A14,B14,C14,D14,E14,F14,G14)</f>
        <v>1.1813897778987883</v>
      </c>
      <c r="K14" t="s">
        <v>11</v>
      </c>
    </row>
    <row r="15" spans="1:11" x14ac:dyDescent="0.25">
      <c r="A15" s="1">
        <v>-4693175</v>
      </c>
      <c r="B15" s="1">
        <v>2622315</v>
      </c>
      <c r="C15" s="1">
        <v>14177487</v>
      </c>
      <c r="D15" s="1">
        <v>2522315</v>
      </c>
      <c r="E15" s="1">
        <v>407920</v>
      </c>
      <c r="F15" s="1">
        <v>18870662</v>
      </c>
      <c r="G15" s="1">
        <v>2986883</v>
      </c>
      <c r="I15">
        <f>[1]!Module2.score_Altman(A15,B15,C15,D15,E15,F15,G15)</f>
        <v>0.67225231596827506</v>
      </c>
      <c r="K15" t="s">
        <v>11</v>
      </c>
    </row>
    <row r="16" spans="1:11" x14ac:dyDescent="0.25">
      <c r="A16" s="1">
        <v>11803165</v>
      </c>
      <c r="B16" s="1">
        <v>9120635</v>
      </c>
      <c r="C16" s="1">
        <v>24192612</v>
      </c>
      <c r="D16" s="1">
        <v>9020635</v>
      </c>
      <c r="E16" s="1">
        <v>189359</v>
      </c>
      <c r="F16" s="1">
        <v>12389447</v>
      </c>
      <c r="G16" s="1">
        <v>9397810</v>
      </c>
      <c r="I16">
        <f>[1]!Module2.score_Altman(A16,B16,C16,D16,E16,F16,G16)</f>
        <v>2.7409627664610743</v>
      </c>
      <c r="K16" t="s">
        <v>10</v>
      </c>
    </row>
    <row r="17" spans="1:11" x14ac:dyDescent="0.25">
      <c r="A17" s="1">
        <v>5183016</v>
      </c>
      <c r="B17" s="1">
        <v>8787655</v>
      </c>
      <c r="C17" s="1">
        <v>19195036</v>
      </c>
      <c r="D17" s="1">
        <v>8687655</v>
      </c>
      <c r="E17" s="1">
        <v>123284</v>
      </c>
      <c r="F17" s="1">
        <v>14012020</v>
      </c>
      <c r="G17" s="1">
        <v>9587930</v>
      </c>
      <c r="I17">
        <f>[1]!Module2.score_Altman(A17,B17,C17,D17,E17,F17,G17)</f>
        <v>2.9628113940730691</v>
      </c>
      <c r="K17" t="s">
        <v>10</v>
      </c>
    </row>
    <row r="18" spans="1:11" x14ac:dyDescent="0.25">
      <c r="A18" s="1">
        <v>2841324</v>
      </c>
      <c r="B18" s="1">
        <v>10208886</v>
      </c>
      <c r="C18" s="1">
        <v>17581204</v>
      </c>
      <c r="D18" s="1">
        <v>10108886</v>
      </c>
      <c r="E18" s="1">
        <v>100485</v>
      </c>
      <c r="F18" s="1">
        <v>14739880</v>
      </c>
      <c r="G18" s="1">
        <v>10915048</v>
      </c>
      <c r="I18">
        <f>[1]!Module2.score_Altman(A18,B18,C18,D18,E18,F18,G18)</f>
        <v>3.5286206292062996</v>
      </c>
      <c r="K18" t="s">
        <v>9</v>
      </c>
    </row>
    <row r="19" spans="1:11" x14ac:dyDescent="0.25">
      <c r="A19" s="1">
        <v>2034404</v>
      </c>
      <c r="B19" s="1">
        <v>6354879</v>
      </c>
      <c r="C19" s="1">
        <v>20751230</v>
      </c>
      <c r="D19" s="1">
        <v>6254879</v>
      </c>
      <c r="E19" s="1">
        <v>326177</v>
      </c>
      <c r="F19" s="1">
        <v>18716826</v>
      </c>
      <c r="G19" s="1">
        <v>7279835</v>
      </c>
      <c r="I19">
        <f>[1]!Module2.score_Altman(A19,B19,C19,D19,E19,F19,G19)</f>
        <v>1.9019956842511891</v>
      </c>
      <c r="K19" t="s">
        <v>10</v>
      </c>
    </row>
    <row r="20" spans="1:11" x14ac:dyDescent="0.25">
      <c r="A20" s="1">
        <v>-1275318</v>
      </c>
      <c r="B20" s="1">
        <v>9373731</v>
      </c>
      <c r="C20" s="1">
        <v>16635128</v>
      </c>
      <c r="D20" s="1">
        <v>9273731</v>
      </c>
      <c r="E20" s="1">
        <v>231357</v>
      </c>
      <c r="F20" s="1">
        <v>17910446</v>
      </c>
      <c r="G20" s="1">
        <v>10109637</v>
      </c>
      <c r="I20">
        <f>[1]!Module2.score_Altman(A20,B20,C20,D20,E20,F20,G20)</f>
        <v>3.1514402007386089</v>
      </c>
      <c r="K20" t="s">
        <v>9</v>
      </c>
    </row>
    <row r="21" spans="1:11" x14ac:dyDescent="0.25">
      <c r="A21" s="1">
        <v>-5685903</v>
      </c>
      <c r="B21" s="1">
        <v>2132209</v>
      </c>
      <c r="C21" s="1">
        <v>12453407</v>
      </c>
      <c r="D21" s="1">
        <v>2032209</v>
      </c>
      <c r="E21" s="1">
        <v>308071</v>
      </c>
      <c r="F21" s="1">
        <v>18139310</v>
      </c>
      <c r="G21" s="1">
        <v>2642118</v>
      </c>
      <c r="I21">
        <f>[1]!Module2.score_Altman(A21,B21,C21,D21,E21,F21,G21)</f>
        <v>0.45246069119870658</v>
      </c>
      <c r="K21" t="s">
        <v>11</v>
      </c>
    </row>
    <row r="22" spans="1:11" x14ac:dyDescent="0.25">
      <c r="A22" s="1">
        <v>10239761</v>
      </c>
      <c r="B22" s="1">
        <v>7216077</v>
      </c>
      <c r="C22" s="1">
        <v>22323551</v>
      </c>
      <c r="D22" s="1">
        <v>7116077</v>
      </c>
      <c r="E22" s="1">
        <v>181379</v>
      </c>
      <c r="F22" s="1">
        <v>12083790</v>
      </c>
      <c r="G22" s="1">
        <v>7815880</v>
      </c>
      <c r="I22">
        <f>[1]!Module2.score_Altman(A22,B22,C22,D22,E22,F22,G22)</f>
        <v>2.4137013131007552</v>
      </c>
      <c r="K22" t="s">
        <v>10</v>
      </c>
    </row>
    <row r="23" spans="1:11" x14ac:dyDescent="0.25">
      <c r="A23" s="1">
        <v>-5188964</v>
      </c>
      <c r="B23" s="1">
        <v>6301456</v>
      </c>
      <c r="C23" s="1">
        <v>10585803</v>
      </c>
      <c r="D23" s="1">
        <v>6201456</v>
      </c>
      <c r="E23" s="1">
        <v>481592</v>
      </c>
      <c r="F23" s="1">
        <v>15774767</v>
      </c>
      <c r="G23" s="1">
        <v>6609908</v>
      </c>
      <c r="I23">
        <f>[1]!Module2.score_Altman(A23,B23,C23,D23,E23,F23,G23)</f>
        <v>2.8205031999796626</v>
      </c>
      <c r="K23" t="s">
        <v>10</v>
      </c>
    </row>
    <row r="24" spans="1:11" x14ac:dyDescent="0.25">
      <c r="A24" s="1">
        <v>7110072</v>
      </c>
      <c r="B24" s="1">
        <v>11769506</v>
      </c>
      <c r="C24" s="1">
        <v>21392423</v>
      </c>
      <c r="D24" s="1">
        <v>11669506</v>
      </c>
      <c r="E24" s="1">
        <v>432266</v>
      </c>
      <c r="F24" s="1">
        <v>14282351</v>
      </c>
      <c r="G24" s="1">
        <v>12373901</v>
      </c>
      <c r="I24">
        <f>[1]!Module2.score_Altman(A24,B24,C24,D24,E24,F24,G24)</f>
        <v>3.5652231401503083</v>
      </c>
      <c r="K24" t="s">
        <v>9</v>
      </c>
    </row>
    <row r="25" spans="1:11" x14ac:dyDescent="0.25">
      <c r="A25" s="1">
        <v>-4705002</v>
      </c>
      <c r="B25" s="1">
        <v>49854</v>
      </c>
      <c r="C25" s="1">
        <v>12760474</v>
      </c>
      <c r="D25" s="1">
        <v>-50146</v>
      </c>
      <c r="E25" s="1">
        <v>264554</v>
      </c>
      <c r="F25" s="1">
        <v>17465476</v>
      </c>
      <c r="G25" s="1">
        <v>1009722</v>
      </c>
      <c r="I25">
        <f>[1]!Module2.score_Altman(A25,B25,C25,D25,E25,F25,G25)</f>
        <v>-0.36182077995873985</v>
      </c>
      <c r="K25" t="s">
        <v>11</v>
      </c>
    </row>
    <row r="26" spans="1:11" x14ac:dyDescent="0.25">
      <c r="A26" s="1">
        <v>-8007787</v>
      </c>
      <c r="B26" s="1">
        <v>2257975</v>
      </c>
      <c r="C26" s="1">
        <v>13637467</v>
      </c>
      <c r="D26" s="1">
        <v>2157975</v>
      </c>
      <c r="E26" s="1">
        <v>225825</v>
      </c>
      <c r="F26" s="1">
        <v>21645254</v>
      </c>
      <c r="G26" s="1">
        <v>3042758</v>
      </c>
      <c r="I26">
        <f>[1]!Module2.score_Altman(A26,B26,C26,D26,E26,F26,G26)</f>
        <v>0.27851366305351255</v>
      </c>
      <c r="K26" t="s">
        <v>11</v>
      </c>
    </row>
    <row r="27" spans="1:11" x14ac:dyDescent="0.25">
      <c r="A27" s="1">
        <v>8443487</v>
      </c>
      <c r="B27" s="1">
        <v>7677471</v>
      </c>
      <c r="C27" s="1">
        <v>18950949</v>
      </c>
      <c r="D27" s="1">
        <v>7577471</v>
      </c>
      <c r="E27" s="1">
        <v>138883</v>
      </c>
      <c r="F27" s="1">
        <v>10507462</v>
      </c>
      <c r="G27" s="1">
        <v>8442581</v>
      </c>
      <c r="I27">
        <f>[1]!Module2.score_Altman(A27,B27,C27,D27,E27,F27,G27)</f>
        <v>2.8743009814769027</v>
      </c>
      <c r="K27" t="s">
        <v>10</v>
      </c>
    </row>
    <row r="28" spans="1:11" x14ac:dyDescent="0.25">
      <c r="A28" s="1">
        <v>1558033</v>
      </c>
      <c r="B28" s="1">
        <v>12929599</v>
      </c>
      <c r="C28" s="1">
        <v>17280722</v>
      </c>
      <c r="D28" s="1">
        <v>12829599</v>
      </c>
      <c r="E28" s="1">
        <v>148004</v>
      </c>
      <c r="F28" s="1">
        <v>15722689</v>
      </c>
      <c r="G28" s="1">
        <v>13402050</v>
      </c>
      <c r="I28">
        <f>[1]!Module2.score_Altman(A28,B28,C28,D28,E28,F28,G28)</f>
        <v>4.3861017737686634</v>
      </c>
      <c r="K28" t="s">
        <v>9</v>
      </c>
    </row>
    <row r="29" spans="1:11" x14ac:dyDescent="0.25">
      <c r="A29" s="1">
        <v>-1699302</v>
      </c>
      <c r="B29" s="1">
        <v>7321042</v>
      </c>
      <c r="C29" s="1">
        <v>12865033</v>
      </c>
      <c r="D29" s="1">
        <v>7221042</v>
      </c>
      <c r="E29" s="1">
        <v>214458</v>
      </c>
      <c r="F29" s="1">
        <v>14564335</v>
      </c>
      <c r="G29" s="1">
        <v>7683253</v>
      </c>
      <c r="I29">
        <f>[1]!Module2.score_Altman(A29,B29,C29,D29,E29,F29,G29)</f>
        <v>3.0959086625799537</v>
      </c>
      <c r="K29" t="s">
        <v>9</v>
      </c>
    </row>
    <row r="30" spans="1:11" x14ac:dyDescent="0.25">
      <c r="A30" s="1">
        <v>-5958196</v>
      </c>
      <c r="B30" s="1">
        <v>14219713</v>
      </c>
      <c r="C30" s="1">
        <v>16739427</v>
      </c>
      <c r="D30" s="1">
        <v>14119713</v>
      </c>
      <c r="E30" s="1">
        <v>388391</v>
      </c>
      <c r="F30" s="1">
        <v>22697623</v>
      </c>
      <c r="G30" s="1">
        <v>14444580</v>
      </c>
      <c r="I30">
        <f>[1]!Module2.score_Altman(A30,B30,C30,D30,E30,F30,G30)</f>
        <v>4.4180014896839852</v>
      </c>
      <c r="K30" t="s">
        <v>9</v>
      </c>
    </row>
    <row r="31" spans="1:11" x14ac:dyDescent="0.25">
      <c r="A31" s="1">
        <v>-10450267</v>
      </c>
      <c r="B31" s="1">
        <v>7723385</v>
      </c>
      <c r="C31" s="1">
        <v>14483512</v>
      </c>
      <c r="D31" s="1">
        <v>7623385</v>
      </c>
      <c r="E31" s="1">
        <v>363396</v>
      </c>
      <c r="F31" s="1">
        <v>24933779</v>
      </c>
      <c r="G31" s="1">
        <v>8287099</v>
      </c>
      <c r="I31">
        <f>[1]!Module2.score_Altman(A31,B31,C31,D31,E31,F31,G31)</f>
        <v>2.1980202953591941</v>
      </c>
      <c r="K31" t="s">
        <v>10</v>
      </c>
    </row>
    <row r="32" spans="1:11" x14ac:dyDescent="0.25">
      <c r="A32" s="1">
        <v>3102730</v>
      </c>
      <c r="B32" s="1">
        <v>13433304</v>
      </c>
      <c r="C32" s="1">
        <v>25517865</v>
      </c>
      <c r="D32" s="1">
        <v>13333304</v>
      </c>
      <c r="E32" s="1">
        <v>249202</v>
      </c>
      <c r="F32" s="1">
        <v>22415135</v>
      </c>
      <c r="G32" s="1">
        <v>14094108</v>
      </c>
      <c r="I32">
        <f>[1]!Module2.score_Altman(A32,B32,C32,D32,E32,F32,G32)</f>
        <v>3.1656268653646111</v>
      </c>
      <c r="K32" t="s">
        <v>9</v>
      </c>
    </row>
    <row r="33" spans="1:11" x14ac:dyDescent="0.25">
      <c r="A33" s="1">
        <v>-9515416</v>
      </c>
      <c r="B33" s="1">
        <v>13245123</v>
      </c>
      <c r="C33" s="1">
        <v>13415355</v>
      </c>
      <c r="D33" s="1">
        <v>13145123</v>
      </c>
      <c r="E33" s="1">
        <v>363508</v>
      </c>
      <c r="F33" s="1">
        <v>22930771</v>
      </c>
      <c r="G33" s="1">
        <v>13602386</v>
      </c>
      <c r="I33">
        <f>[1]!Module2.score_Altman(A33,B33,C33,D33,E33,F33,G33)</f>
        <v>4.7870488924682135</v>
      </c>
      <c r="K33" t="s">
        <v>9</v>
      </c>
    </row>
    <row r="34" spans="1:11" x14ac:dyDescent="0.25">
      <c r="A34" s="1">
        <v>9684313</v>
      </c>
      <c r="B34" s="1">
        <v>4759231</v>
      </c>
      <c r="C34" s="1">
        <v>22248542</v>
      </c>
      <c r="D34" s="1">
        <v>4659231</v>
      </c>
      <c r="E34" s="1">
        <v>344243</v>
      </c>
      <c r="F34" s="1">
        <v>12564229</v>
      </c>
      <c r="G34" s="1">
        <v>5569819</v>
      </c>
      <c r="I34">
        <f>[1]!Module2.score_Altman(A34,B34,C34,D34,E34,F34,G34)</f>
        <v>1.7794225775897503</v>
      </c>
      <c r="K34" t="s">
        <v>11</v>
      </c>
    </row>
    <row r="35" spans="1:11" x14ac:dyDescent="0.25">
      <c r="A35" s="1">
        <v>9067748</v>
      </c>
      <c r="B35" s="1">
        <v>6505027</v>
      </c>
      <c r="C35" s="1">
        <v>22729020</v>
      </c>
      <c r="D35" s="1">
        <v>6405027</v>
      </c>
      <c r="E35" s="1">
        <v>201039</v>
      </c>
      <c r="F35" s="1">
        <v>13661272</v>
      </c>
      <c r="G35" s="1">
        <v>7461786</v>
      </c>
      <c r="I35">
        <f>[1]!Module2.score_Altman(A35,B35,C35,D35,E35,F35,G35)</f>
        <v>2.1461522343531252</v>
      </c>
      <c r="K35" t="s">
        <v>10</v>
      </c>
    </row>
    <row r="36" spans="1:11" x14ac:dyDescent="0.25">
      <c r="A36" s="1">
        <v>-1118680</v>
      </c>
      <c r="B36" s="1">
        <v>13207491</v>
      </c>
      <c r="C36" s="1">
        <v>20511012</v>
      </c>
      <c r="D36" s="1">
        <v>13107491</v>
      </c>
      <c r="E36" s="1">
        <v>245968</v>
      </c>
      <c r="F36" s="1">
        <v>21629692</v>
      </c>
      <c r="G36" s="1">
        <v>14167518</v>
      </c>
      <c r="I36">
        <f>[1]!Module2.score_Altman(A36,B36,C36,D36,E36,F36,G36)</f>
        <v>3.6417555739060044</v>
      </c>
      <c r="K36" t="s">
        <v>9</v>
      </c>
    </row>
    <row r="37" spans="1:11" x14ac:dyDescent="0.25">
      <c r="A37" s="1">
        <v>5206084</v>
      </c>
      <c r="B37" s="1">
        <v>2402015</v>
      </c>
      <c r="C37" s="1">
        <v>21742356</v>
      </c>
      <c r="D37" s="1">
        <v>2302015</v>
      </c>
      <c r="E37" s="1">
        <v>148290</v>
      </c>
      <c r="F37" s="1">
        <v>16536272</v>
      </c>
      <c r="G37" s="1">
        <v>2694615</v>
      </c>
      <c r="I37">
        <f>[1]!Module2.score_Altman(A37,B37,C37,D37,E37,F37,G37)</f>
        <v>0.9205845631510019</v>
      </c>
      <c r="K37" t="s">
        <v>11</v>
      </c>
    </row>
    <row r="38" spans="1:11" x14ac:dyDescent="0.25">
      <c r="A38" s="1">
        <v>-795227</v>
      </c>
      <c r="B38" s="1">
        <v>10817831</v>
      </c>
      <c r="C38" s="1">
        <v>22192778</v>
      </c>
      <c r="D38" s="1">
        <v>10717831</v>
      </c>
      <c r="E38" s="1">
        <v>200485</v>
      </c>
      <c r="F38" s="1">
        <v>22988005</v>
      </c>
      <c r="G38" s="1">
        <v>11319869</v>
      </c>
      <c r="I38">
        <f>[1]!Module2.score_Altman(A38,B38,C38,D38,E38,F38,G38)</f>
        <v>2.747930516809225</v>
      </c>
      <c r="K38" t="s">
        <v>10</v>
      </c>
    </row>
    <row r="39" spans="1:11" x14ac:dyDescent="0.25">
      <c r="A39" s="1">
        <v>9567109</v>
      </c>
      <c r="B39" s="1">
        <v>2080415</v>
      </c>
      <c r="C39" s="1">
        <v>23002305</v>
      </c>
      <c r="D39" s="1">
        <v>1980415</v>
      </c>
      <c r="E39" s="1">
        <v>199289</v>
      </c>
      <c r="F39" s="1">
        <v>13435196</v>
      </c>
      <c r="G39" s="1">
        <v>2915591</v>
      </c>
      <c r="I39">
        <f>[1]!Module2.score_Altman(A39,B39,C39,D39,E39,F39,G39)</f>
        <v>1.0453682209774851</v>
      </c>
      <c r="K39" t="s">
        <v>11</v>
      </c>
    </row>
    <row r="40" spans="1:11" x14ac:dyDescent="0.25">
      <c r="A40" s="1">
        <v>-448492</v>
      </c>
      <c r="B40" s="1">
        <v>12111962</v>
      </c>
      <c r="C40" s="1">
        <v>15153729</v>
      </c>
      <c r="D40" s="1">
        <v>12011962</v>
      </c>
      <c r="E40" s="1">
        <v>428139</v>
      </c>
      <c r="F40" s="1">
        <v>15602221</v>
      </c>
      <c r="G40" s="1">
        <v>12570944</v>
      </c>
      <c r="I40">
        <f>[1]!Module2.score_Altman(A40,B40,C40,D40,E40,F40,G40)</f>
        <v>4.5444855544120069</v>
      </c>
      <c r="K40" t="s">
        <v>9</v>
      </c>
    </row>
    <row r="41" spans="1:11" x14ac:dyDescent="0.25">
      <c r="A41" s="1">
        <v>-467841</v>
      </c>
      <c r="B41" s="1">
        <v>6960226</v>
      </c>
      <c r="C41" s="1">
        <v>15805880</v>
      </c>
      <c r="D41" s="1">
        <v>6860226</v>
      </c>
      <c r="E41" s="1">
        <v>207048</v>
      </c>
      <c r="F41" s="1">
        <v>16273721</v>
      </c>
      <c r="G41" s="1">
        <v>7606049</v>
      </c>
      <c r="I41">
        <f>[1]!Module2.score_Altman(A41,B41,C41,D41,E41,F41,G41)</f>
        <v>2.5016483642086387</v>
      </c>
      <c r="K41" t="s">
        <v>10</v>
      </c>
    </row>
    <row r="42" spans="1:11" x14ac:dyDescent="0.25">
      <c r="A42" s="1">
        <v>-4071868</v>
      </c>
      <c r="B42" s="1">
        <v>8971976</v>
      </c>
      <c r="C42" s="1">
        <v>15701038</v>
      </c>
      <c r="D42" s="1">
        <v>8871976</v>
      </c>
      <c r="E42" s="1">
        <v>203124</v>
      </c>
      <c r="F42" s="1">
        <v>19772906</v>
      </c>
      <c r="G42" s="1">
        <v>9253255</v>
      </c>
      <c r="I42">
        <f>[1]!Module2.score_Altman(A42,B42,C42,E42,F42,F42,G42)</f>
        <v>1.7202339506149291</v>
      </c>
      <c r="K42" t="s">
        <v>11</v>
      </c>
    </row>
    <row r="43" spans="1:11" x14ac:dyDescent="0.25">
      <c r="A43" s="1">
        <v>792206</v>
      </c>
      <c r="B43" s="1">
        <v>10563750</v>
      </c>
      <c r="C43" s="1">
        <v>22159962</v>
      </c>
      <c r="D43" s="1">
        <v>10463750</v>
      </c>
      <c r="E43" s="1">
        <v>208170</v>
      </c>
      <c r="F43" s="1">
        <v>21367756</v>
      </c>
      <c r="G43" s="1">
        <v>10921264</v>
      </c>
      <c r="I43">
        <f>[1]!Module2.score_Altman(A43,B43,C43,E43,F43,F43,G43)</f>
        <v>1.8336303038373589</v>
      </c>
      <c r="K43" t="s">
        <v>10</v>
      </c>
    </row>
    <row r="44" spans="1:11" x14ac:dyDescent="0.25">
      <c r="A44" s="1">
        <v>5640419</v>
      </c>
      <c r="B44" s="1">
        <v>5228828</v>
      </c>
      <c r="C44" s="1">
        <v>25743034</v>
      </c>
      <c r="D44" s="1">
        <v>5128828</v>
      </c>
      <c r="E44" s="1">
        <v>306697</v>
      </c>
      <c r="F44" s="1">
        <v>20102615</v>
      </c>
      <c r="G44" s="1">
        <v>6114153</v>
      </c>
      <c r="I44">
        <f>[1]!Module2.score_Altman(A44,B44,C44,E44,F44,F44,G44)</f>
        <v>1.423873401157558</v>
      </c>
      <c r="K44" t="s">
        <v>11</v>
      </c>
    </row>
    <row r="45" spans="1:11" x14ac:dyDescent="0.25">
      <c r="A45" s="1">
        <v>4210530</v>
      </c>
      <c r="B45" s="1">
        <v>8992874</v>
      </c>
      <c r="C45" s="1">
        <v>19122529</v>
      </c>
      <c r="D45" s="1">
        <v>8892874</v>
      </c>
      <c r="E45" s="1">
        <v>255600</v>
      </c>
      <c r="F45" s="1">
        <v>14911999</v>
      </c>
      <c r="G45" s="1">
        <v>9287741</v>
      </c>
      <c r="I45">
        <f>[1]!Module2.score_Altman(A45,B45,C45,E45,F45,F45,G45)</f>
        <v>2.0519310696832833</v>
      </c>
      <c r="K45" t="s">
        <v>10</v>
      </c>
    </row>
    <row r="46" spans="1:11" x14ac:dyDescent="0.25">
      <c r="A46" s="1">
        <v>2887233</v>
      </c>
      <c r="B46" s="1">
        <v>13147117</v>
      </c>
      <c r="C46" s="1">
        <v>21448394</v>
      </c>
      <c r="D46" s="1">
        <v>13047117</v>
      </c>
      <c r="E46" s="1">
        <v>196255</v>
      </c>
      <c r="F46" s="1">
        <v>18561161</v>
      </c>
      <c r="G46" s="1">
        <v>13543145</v>
      </c>
      <c r="I46">
        <f>[1]!Module2.score_Altman(A46,B46,C46,E46,F46,F46,G46)</f>
        <v>2.2806800007224082</v>
      </c>
      <c r="K46" t="s">
        <v>10</v>
      </c>
    </row>
    <row r="47" spans="1:11" x14ac:dyDescent="0.25">
      <c r="A47" s="1">
        <v>1685691</v>
      </c>
      <c r="B47" s="1">
        <v>12971148</v>
      </c>
      <c r="C47" s="1">
        <v>21322103</v>
      </c>
      <c r="D47" s="1">
        <v>12871148</v>
      </c>
      <c r="E47" s="1">
        <v>347600</v>
      </c>
      <c r="F47" s="1">
        <v>19636412</v>
      </c>
      <c r="G47" s="1">
        <v>13906952</v>
      </c>
      <c r="I47">
        <f>[1]!Module2.score_Altman(A47,B47,C47,E47,F47,F47,G47)</f>
        <v>2.2519270801469684</v>
      </c>
      <c r="K47" t="s">
        <v>10</v>
      </c>
    </row>
    <row r="48" spans="1:11" x14ac:dyDescent="0.25">
      <c r="A48" s="1">
        <v>-3225736</v>
      </c>
      <c r="B48" s="1">
        <v>4960797</v>
      </c>
      <c r="C48" s="1">
        <v>19580822</v>
      </c>
      <c r="D48" s="1">
        <v>4860797</v>
      </c>
      <c r="E48" s="1">
        <v>365350</v>
      </c>
      <c r="F48" s="1">
        <v>22806558</v>
      </c>
      <c r="G48" s="1">
        <v>5597803</v>
      </c>
      <c r="I48">
        <f>[1]!Module2.score_Altman(A48,B48,C48,E48,F48,F48,G48)</f>
        <v>1.1041715009510518</v>
      </c>
      <c r="K48" t="s">
        <v>11</v>
      </c>
    </row>
    <row r="49" spans="1:11" x14ac:dyDescent="0.25">
      <c r="A49" s="1">
        <v>3125064</v>
      </c>
      <c r="B49" s="1">
        <v>14107331</v>
      </c>
      <c r="C49" s="1">
        <v>20552628</v>
      </c>
      <c r="D49" s="1">
        <v>14007331</v>
      </c>
      <c r="E49" s="1">
        <v>296064</v>
      </c>
      <c r="F49" s="1">
        <v>17427564</v>
      </c>
      <c r="G49" s="1">
        <v>14593538</v>
      </c>
      <c r="I49">
        <f>[1]!Module2.score_Altman(A49,B49,C49,E49,F49,F49,G49)</f>
        <v>2.50030665256083</v>
      </c>
      <c r="K49" t="s">
        <v>10</v>
      </c>
    </row>
    <row r="50" spans="1:11" x14ac:dyDescent="0.25">
      <c r="A50" s="1">
        <v>4819843</v>
      </c>
      <c r="B50" s="1">
        <v>6813112</v>
      </c>
      <c r="C50" s="1">
        <v>23154062</v>
      </c>
      <c r="D50" s="1">
        <v>6713112</v>
      </c>
      <c r="E50" s="1">
        <v>266841</v>
      </c>
      <c r="F50" s="1">
        <v>18334219</v>
      </c>
      <c r="G50" s="1">
        <v>7410181</v>
      </c>
      <c r="I50">
        <f>[1]!Module2.score_Altman(A50,B50,C50,E50,F50,F50,G50)</f>
        <v>1.6194977611862122</v>
      </c>
      <c r="K50" t="s">
        <v>11</v>
      </c>
    </row>
    <row r="51" spans="1:11" x14ac:dyDescent="0.25">
      <c r="A51" s="1">
        <v>1524804</v>
      </c>
      <c r="B51" s="1">
        <v>5173541</v>
      </c>
      <c r="C51" s="1">
        <v>17658795</v>
      </c>
      <c r="D51" s="1">
        <v>5073541</v>
      </c>
      <c r="E51" s="1">
        <v>449026</v>
      </c>
      <c r="F51" s="1">
        <v>16133991</v>
      </c>
      <c r="G51" s="1">
        <v>5878212</v>
      </c>
      <c r="I51">
        <f>[1]!Module2.score_Altman(A51,B51,C51,E51,F51,F51,G51)</f>
        <v>1.5302356764152645</v>
      </c>
      <c r="K51" t="s">
        <v>11</v>
      </c>
    </row>
    <row r="52" spans="1:11" x14ac:dyDescent="0.25">
      <c r="A52" s="1">
        <v>-1946723</v>
      </c>
      <c r="B52" s="1">
        <v>6728620</v>
      </c>
      <c r="C52" s="1">
        <v>15406364</v>
      </c>
      <c r="D52" s="1">
        <v>6628620</v>
      </c>
      <c r="E52" s="1">
        <v>228340</v>
      </c>
      <c r="F52" s="1">
        <v>17353087</v>
      </c>
      <c r="G52" s="1">
        <v>6896293</v>
      </c>
      <c r="I52">
        <f>[1]!Module2.score_Altman(A52,B52,C52,E52,F52,F52,G52)</f>
        <v>1.5558984540030361</v>
      </c>
      <c r="K52" t="s">
        <v>11</v>
      </c>
    </row>
    <row r="53" spans="1:11" x14ac:dyDescent="0.25">
      <c r="A53" s="1">
        <v>1153126</v>
      </c>
      <c r="B53" s="1">
        <v>3656309</v>
      </c>
      <c r="C53" s="1">
        <v>22435472</v>
      </c>
      <c r="D53" s="1">
        <v>3556309</v>
      </c>
      <c r="E53" s="1">
        <v>370975</v>
      </c>
      <c r="F53" s="1">
        <v>21282346</v>
      </c>
      <c r="G53" s="1">
        <v>4634339</v>
      </c>
      <c r="I53">
        <f>[1]!Module2.score_Altman(A53,B53,C53,E53,F53,F53,G53)</f>
        <v>1.1507575681805611</v>
      </c>
      <c r="K53" t="s">
        <v>11</v>
      </c>
    </row>
    <row r="54" spans="1:11" x14ac:dyDescent="0.25">
      <c r="A54" s="1">
        <v>-2832271</v>
      </c>
      <c r="B54" s="1">
        <v>9000832</v>
      </c>
      <c r="C54" s="1">
        <v>11683026</v>
      </c>
      <c r="D54" s="1">
        <v>8900832</v>
      </c>
      <c r="E54" s="1">
        <v>107927</v>
      </c>
      <c r="F54" s="1">
        <v>14515297</v>
      </c>
      <c r="G54" s="1">
        <v>9464077</v>
      </c>
      <c r="I54">
        <f>[1]!Module2.score_Altman(A54,B54,C54,E54,F54,F54,G54)</f>
        <v>2.227421864695847</v>
      </c>
      <c r="K54" t="s">
        <v>10</v>
      </c>
    </row>
    <row r="55" spans="1:11" x14ac:dyDescent="0.25">
      <c r="A55" s="1">
        <v>2101397</v>
      </c>
      <c r="B55" s="1">
        <v>8502703</v>
      </c>
      <c r="C55" s="1">
        <v>20815120</v>
      </c>
      <c r="D55" s="1">
        <v>8402703</v>
      </c>
      <c r="E55" s="1">
        <v>309383</v>
      </c>
      <c r="F55" s="1">
        <v>18713723</v>
      </c>
      <c r="G55" s="1">
        <v>9212010</v>
      </c>
      <c r="I55">
        <f>[1]!Module2.score_Altman(A55,B55,C55,E55,F55,F55,G55)</f>
        <v>1.7841979699991644</v>
      </c>
      <c r="K55" t="s">
        <v>11</v>
      </c>
    </row>
    <row r="56" spans="1:11" x14ac:dyDescent="0.25">
      <c r="A56" s="1">
        <v>-1287452</v>
      </c>
      <c r="B56" s="1">
        <v>10478281</v>
      </c>
      <c r="C56" s="1">
        <v>17824456</v>
      </c>
      <c r="D56" s="1">
        <v>10378281</v>
      </c>
      <c r="E56" s="1">
        <v>392505</v>
      </c>
      <c r="F56" s="1">
        <v>19111908</v>
      </c>
      <c r="G56" s="1">
        <v>10742805</v>
      </c>
      <c r="I56">
        <f>[1]!Module2.score_Altman(A56,B56,C56,E56,F56,F56,G56)</f>
        <v>2.0110938330069184</v>
      </c>
      <c r="K56" t="s">
        <v>10</v>
      </c>
    </row>
    <row r="57" spans="1:11" x14ac:dyDescent="0.25">
      <c r="A57" s="1">
        <v>-12405719</v>
      </c>
      <c r="B57" s="1">
        <v>749472</v>
      </c>
      <c r="C57" s="1">
        <v>11625342</v>
      </c>
      <c r="D57" s="1">
        <v>649472</v>
      </c>
      <c r="E57" s="1">
        <v>485882</v>
      </c>
      <c r="F57" s="1">
        <v>24031061</v>
      </c>
      <c r="G57" s="1">
        <v>1704025</v>
      </c>
      <c r="I57">
        <f>[1]!Module2.score_Altman(A57,B57,C57,E57,F57,F57,G57)</f>
        <v>-0.30594068379700184</v>
      </c>
      <c r="K57" t="s">
        <v>11</v>
      </c>
    </row>
    <row r="58" spans="1:11" x14ac:dyDescent="0.25">
      <c r="A58" s="1">
        <v>-13437609</v>
      </c>
      <c r="B58" s="1">
        <v>13282127</v>
      </c>
      <c r="C58" s="1">
        <v>11413864</v>
      </c>
      <c r="D58" s="1">
        <v>13182127</v>
      </c>
      <c r="E58" s="1">
        <v>451232</v>
      </c>
      <c r="F58" s="1">
        <v>24851473</v>
      </c>
      <c r="G58" s="1">
        <v>14021717</v>
      </c>
      <c r="I58">
        <f>[1]!Module2.score_Altman(A58,B58,C58,E58,F58,F58,G58)</f>
        <v>2.1741039518117904</v>
      </c>
      <c r="K58" t="s">
        <v>10</v>
      </c>
    </row>
    <row r="59" spans="1:11" x14ac:dyDescent="0.25">
      <c r="A59" s="1">
        <v>7032191</v>
      </c>
      <c r="B59" s="1">
        <v>10833928</v>
      </c>
      <c r="C59" s="1">
        <v>20761346</v>
      </c>
      <c r="D59" s="1">
        <v>10733928</v>
      </c>
      <c r="E59" s="1">
        <v>108050</v>
      </c>
      <c r="F59" s="1">
        <v>13729155</v>
      </c>
      <c r="G59" s="1">
        <v>11770412</v>
      </c>
      <c r="I59">
        <f>[1]!Module2.score_Altman(A59,B59,C59,E59,F59,F59,G59)</f>
        <v>2.3205693156868219</v>
      </c>
      <c r="K59" t="s">
        <v>10</v>
      </c>
    </row>
    <row r="60" spans="1:11" x14ac:dyDescent="0.25">
      <c r="A60" s="1">
        <v>4585375</v>
      </c>
      <c r="B60" s="1">
        <v>3051865</v>
      </c>
      <c r="C60" s="1">
        <v>16049610</v>
      </c>
      <c r="D60" s="1">
        <v>2951865</v>
      </c>
      <c r="E60" s="1">
        <v>461580</v>
      </c>
      <c r="F60" s="1">
        <v>11464235</v>
      </c>
      <c r="G60" s="1">
        <v>3695361</v>
      </c>
      <c r="I60">
        <f>[1]!Module2.score_Altman(A60,B60,C60,E60,F60,F60,G60)</f>
        <v>1.5339753822162747</v>
      </c>
      <c r="K60" t="s">
        <v>11</v>
      </c>
    </row>
    <row r="61" spans="1:11" x14ac:dyDescent="0.25">
      <c r="A61" s="1">
        <v>-5673288</v>
      </c>
      <c r="B61" s="1">
        <v>9253962</v>
      </c>
      <c r="C61" s="1">
        <v>13532916</v>
      </c>
      <c r="D61" s="1">
        <v>9153962</v>
      </c>
      <c r="E61" s="1">
        <v>250839</v>
      </c>
      <c r="F61" s="1">
        <v>19206204</v>
      </c>
      <c r="G61" s="1">
        <v>9488747</v>
      </c>
      <c r="I61">
        <f>[1]!Module2.score_Altman(A61,B61,C61,E61,F61,F61,G61)</f>
        <v>1.8158966803848742</v>
      </c>
      <c r="K61" t="s">
        <v>10</v>
      </c>
    </row>
    <row r="62" spans="1:11" x14ac:dyDescent="0.25">
      <c r="A62" s="1">
        <v>-6311341</v>
      </c>
      <c r="B62" s="1">
        <v>12219821</v>
      </c>
      <c r="C62" s="1">
        <v>14950608</v>
      </c>
      <c r="D62" s="1">
        <v>12119821</v>
      </c>
      <c r="E62" s="1">
        <v>263374</v>
      </c>
      <c r="F62" s="1">
        <v>21261949</v>
      </c>
      <c r="G62" s="1">
        <v>12774705</v>
      </c>
      <c r="I62">
        <f>[1]!Module2.score_Altman(A62,B62,C62,D62,E62,F62,G62)</f>
        <v>4.1739169611781834</v>
      </c>
      <c r="K62" t="s">
        <v>9</v>
      </c>
    </row>
    <row r="63" spans="1:11" x14ac:dyDescent="0.25">
      <c r="A63" s="1">
        <v>8695609</v>
      </c>
      <c r="B63" s="1">
        <v>5934684</v>
      </c>
      <c r="C63" s="1">
        <v>21803518</v>
      </c>
      <c r="D63" s="1">
        <v>5834684</v>
      </c>
      <c r="E63" s="1">
        <v>478604</v>
      </c>
      <c r="F63" s="1">
        <v>13107909</v>
      </c>
      <c r="G63" s="1">
        <v>6794410</v>
      </c>
      <c r="I63">
        <f>[1]!Module2.score_Altman(A63,B63,C63,D63,E63,F63,G63)</f>
        <v>2.0759504548013208</v>
      </c>
      <c r="K63" t="s">
        <v>10</v>
      </c>
    </row>
    <row r="64" spans="1:11" x14ac:dyDescent="0.25">
      <c r="A64" s="1">
        <v>11842621</v>
      </c>
      <c r="B64" s="1">
        <v>5946111</v>
      </c>
      <c r="C64" s="1">
        <v>23514900</v>
      </c>
      <c r="D64" s="1">
        <v>5846111</v>
      </c>
      <c r="E64" s="1">
        <v>445298</v>
      </c>
      <c r="F64" s="1">
        <v>11672279</v>
      </c>
      <c r="G64" s="1">
        <v>6142666</v>
      </c>
      <c r="I64">
        <f>[1]!Module2.score_Altman(A64,B64,C64,D64,E64,F64,G64)</f>
        <v>2.0626346048116684</v>
      </c>
      <c r="K64" t="s">
        <v>10</v>
      </c>
    </row>
    <row r="65" spans="1:11" x14ac:dyDescent="0.25">
      <c r="A65" s="1">
        <v>4948429</v>
      </c>
      <c r="B65" s="1">
        <v>6452618</v>
      </c>
      <c r="C65" s="1">
        <v>23486157</v>
      </c>
      <c r="D65" s="1">
        <v>6352618</v>
      </c>
      <c r="E65" s="1">
        <v>323819</v>
      </c>
      <c r="F65" s="1">
        <v>18537728</v>
      </c>
      <c r="G65" s="1">
        <v>6902284</v>
      </c>
      <c r="I65">
        <f>[1]!Module2.score_Altman(A65,B65,C65,D65,E65,F65,G65)</f>
        <v>1.8341425210833548</v>
      </c>
      <c r="K65" t="s">
        <v>10</v>
      </c>
    </row>
    <row r="66" spans="1:11" x14ac:dyDescent="0.25">
      <c r="A66" s="1">
        <v>-1437436</v>
      </c>
      <c r="B66" s="1">
        <v>9825695</v>
      </c>
      <c r="C66" s="1">
        <v>23468782</v>
      </c>
      <c r="D66" s="1">
        <v>9725695</v>
      </c>
      <c r="E66" s="1">
        <v>182774</v>
      </c>
      <c r="F66" s="1">
        <v>24906218</v>
      </c>
      <c r="G66" s="1">
        <v>9941860</v>
      </c>
      <c r="I66">
        <f>[1]!Module2.score_Altman(A66,B66,C66,D66,E66,F66,G66)</f>
        <v>2.3077932580672202</v>
      </c>
      <c r="K66" t="s">
        <v>10</v>
      </c>
    </row>
    <row r="67" spans="1:11" x14ac:dyDescent="0.25">
      <c r="A67" s="1">
        <v>2658190</v>
      </c>
      <c r="B67" s="1">
        <v>5882746</v>
      </c>
      <c r="C67" s="1">
        <v>24548838</v>
      </c>
      <c r="D67" s="1">
        <v>5782746</v>
      </c>
      <c r="E67" s="1">
        <v>189074</v>
      </c>
      <c r="F67" s="1">
        <v>21890648</v>
      </c>
      <c r="G67" s="1">
        <v>6665520</v>
      </c>
      <c r="I67">
        <f>[1]!Module2.score_Altman(A67,B67,C67,D67,E67,F67,G67)</f>
        <v>1.519208691239357</v>
      </c>
      <c r="K67" t="s">
        <v>11</v>
      </c>
    </row>
    <row r="68" spans="1:11" x14ac:dyDescent="0.25">
      <c r="A68" s="1">
        <v>-3107811</v>
      </c>
      <c r="B68" s="1">
        <v>13189767</v>
      </c>
      <c r="C68" s="1">
        <v>15253511</v>
      </c>
      <c r="D68" s="1">
        <v>13089767</v>
      </c>
      <c r="E68" s="1">
        <v>215518</v>
      </c>
      <c r="F68" s="1">
        <v>18361322</v>
      </c>
      <c r="G68" s="1">
        <v>14021906</v>
      </c>
      <c r="I68">
        <f>[1]!Module2.score_Altman(A68,B68,C68,D68,E68,F68,G68)</f>
        <v>4.7233609706982964</v>
      </c>
      <c r="K68" t="s">
        <v>9</v>
      </c>
    </row>
    <row r="69" spans="1:11" x14ac:dyDescent="0.25">
      <c r="A69" s="1">
        <v>-3924307</v>
      </c>
      <c r="B69" s="1">
        <v>2011386</v>
      </c>
      <c r="C69" s="1">
        <v>20764602</v>
      </c>
      <c r="D69" s="1">
        <v>1911386</v>
      </c>
      <c r="E69" s="1">
        <v>231851</v>
      </c>
      <c r="F69" s="1">
        <v>24688909</v>
      </c>
      <c r="G69" s="1">
        <v>2140499</v>
      </c>
      <c r="I69">
        <f>[1]!Module2.score_Altman(A69,B69,C69,D69,E69,F69,G69)</f>
        <v>0.32120544031262394</v>
      </c>
      <c r="K69" t="s">
        <v>11</v>
      </c>
    </row>
    <row r="70" spans="1:11" x14ac:dyDescent="0.25">
      <c r="A70" s="1">
        <v>-299386</v>
      </c>
      <c r="B70" s="1">
        <v>9935835</v>
      </c>
      <c r="C70" s="1">
        <v>16359826</v>
      </c>
      <c r="D70" s="1">
        <v>9835835</v>
      </c>
      <c r="E70" s="1">
        <v>113945</v>
      </c>
      <c r="F70" s="1">
        <v>16659212</v>
      </c>
      <c r="G70" s="1">
        <v>10043809</v>
      </c>
      <c r="I70">
        <f>[1]!Module2.score_Altman(A70,B70,C70,D70,E70,F70,G70)</f>
        <v>3.4297471091039475</v>
      </c>
      <c r="K70" t="s">
        <v>9</v>
      </c>
    </row>
    <row r="71" spans="1:11" x14ac:dyDescent="0.25">
      <c r="A71" s="1">
        <v>3215388</v>
      </c>
      <c r="B71" s="1">
        <v>10563993</v>
      </c>
      <c r="C71" s="1">
        <v>22907859</v>
      </c>
      <c r="D71" s="1">
        <v>10463993</v>
      </c>
      <c r="E71" s="1">
        <v>160618</v>
      </c>
      <c r="F71" s="1">
        <v>19692471</v>
      </c>
      <c r="G71" s="1">
        <v>11242611</v>
      </c>
      <c r="I71">
        <f>[1]!Module2.score_Altman(A71,B71,C71,D71,E71,F71,G71)</f>
        <v>2.8166187588870524</v>
      </c>
      <c r="K71" t="s">
        <v>10</v>
      </c>
    </row>
    <row r="72" spans="1:11" x14ac:dyDescent="0.25">
      <c r="A72" s="1">
        <v>-1382090</v>
      </c>
      <c r="B72" s="1">
        <v>11377713</v>
      </c>
      <c r="C72" s="1">
        <v>19613743</v>
      </c>
      <c r="D72" s="1">
        <v>11277713</v>
      </c>
      <c r="E72" s="1">
        <v>436345</v>
      </c>
      <c r="F72" s="1">
        <v>20995833</v>
      </c>
      <c r="G72" s="1">
        <v>11890815</v>
      </c>
      <c r="I72">
        <f>[1]!Module2.score_Altman(A72,B72,C72,D72,E72,F72,G72)</f>
        <v>3.2431462643593547</v>
      </c>
      <c r="K72" t="s">
        <v>9</v>
      </c>
    </row>
    <row r="73" spans="1:11" x14ac:dyDescent="0.25">
      <c r="A73" s="1">
        <v>-5527357</v>
      </c>
      <c r="B73" s="1">
        <v>2634310</v>
      </c>
      <c r="C73" s="1">
        <v>17167143</v>
      </c>
      <c r="D73" s="1">
        <v>2534310</v>
      </c>
      <c r="E73" s="1">
        <v>225513</v>
      </c>
      <c r="F73" s="1">
        <v>22694500</v>
      </c>
      <c r="G73" s="1">
        <v>3438036</v>
      </c>
      <c r="I73">
        <f>[1]!Module2.score_Altman(A73,B73,C73,D73,E73,F73,G73)</f>
        <v>0.52165811944007867</v>
      </c>
      <c r="K73" t="s">
        <v>11</v>
      </c>
    </row>
    <row r="74" spans="1:11" x14ac:dyDescent="0.25">
      <c r="A74" s="1">
        <v>8428979</v>
      </c>
      <c r="B74" s="1">
        <v>5310524</v>
      </c>
      <c r="C74" s="1">
        <v>18437602</v>
      </c>
      <c r="D74" s="1">
        <v>5210524</v>
      </c>
      <c r="E74" s="1">
        <v>184084</v>
      </c>
      <c r="F74" s="1">
        <v>10008623</v>
      </c>
      <c r="G74" s="1">
        <v>5946934</v>
      </c>
      <c r="I74">
        <f>[1]!Module2.score_Altman(A74,B74,C74,D74,E74,F74,G74)</f>
        <v>2.217679562449455</v>
      </c>
      <c r="K74" t="s">
        <v>10</v>
      </c>
    </row>
    <row r="75" spans="1:11" x14ac:dyDescent="0.25">
      <c r="A75" s="1">
        <v>8631307</v>
      </c>
      <c r="B75" s="1">
        <v>4043264</v>
      </c>
      <c r="C75" s="1">
        <v>20863713</v>
      </c>
      <c r="D75" s="1">
        <v>3943264</v>
      </c>
      <c r="E75" s="1">
        <v>216505</v>
      </c>
      <c r="F75" s="1">
        <v>12232406</v>
      </c>
      <c r="G75" s="1">
        <v>5041157</v>
      </c>
      <c r="I75">
        <f>[1]!Module2.score_Altman(A75,B75,C75,D75,E75,F75,G75)</f>
        <v>1.6434557838886976</v>
      </c>
      <c r="K75" t="s">
        <v>11</v>
      </c>
    </row>
    <row r="76" spans="1:11" x14ac:dyDescent="0.25">
      <c r="A76" s="1">
        <v>-2713308</v>
      </c>
      <c r="B76" s="1">
        <v>7931167</v>
      </c>
      <c r="C76" s="1">
        <v>10681783</v>
      </c>
      <c r="D76" s="1">
        <v>7831167</v>
      </c>
      <c r="E76" s="1">
        <v>434862</v>
      </c>
      <c r="F76" s="1">
        <v>13395091</v>
      </c>
      <c r="G76" s="1">
        <v>8042661</v>
      </c>
      <c r="I76">
        <f>[1]!Module2.score_Altman(A76,B76,C76,D76,E76,F76,G76)</f>
        <v>3.9256742382049561</v>
      </c>
      <c r="K76" t="s">
        <v>9</v>
      </c>
    </row>
    <row r="77" spans="1:11" x14ac:dyDescent="0.25">
      <c r="A77" s="1">
        <v>-9895761</v>
      </c>
      <c r="B77" s="1">
        <v>14437013</v>
      </c>
      <c r="C77" s="1">
        <v>12930169</v>
      </c>
      <c r="D77" s="1">
        <v>14337013</v>
      </c>
      <c r="E77" s="1">
        <v>351564</v>
      </c>
      <c r="F77" s="1">
        <v>22825930</v>
      </c>
      <c r="G77" s="1">
        <v>14865971</v>
      </c>
      <c r="I77">
        <f>[1]!Module2.score_Altman(A77,B77,C77,D77,E77,F77,G77)</f>
        <v>5.4616181977540252</v>
      </c>
      <c r="K77" t="s">
        <v>9</v>
      </c>
    </row>
    <row r="78" spans="1:11" x14ac:dyDescent="0.25">
      <c r="A78" s="1">
        <v>4022732</v>
      </c>
      <c r="B78" s="1">
        <v>11162302</v>
      </c>
      <c r="C78" s="1">
        <v>20967235</v>
      </c>
      <c r="D78" s="1">
        <v>11062302</v>
      </c>
      <c r="E78" s="1">
        <v>110548</v>
      </c>
      <c r="F78" s="1">
        <v>16944503</v>
      </c>
      <c r="G78" s="1">
        <v>11673279</v>
      </c>
      <c r="I78">
        <f>[1]!Module2.score_Altman(A78,B78,C78,D78,E78,F78,G78)</f>
        <v>3.2767208650857209</v>
      </c>
      <c r="K78" t="s">
        <v>9</v>
      </c>
    </row>
    <row r="79" spans="1:11" x14ac:dyDescent="0.25">
      <c r="A79" s="1">
        <v>-6873012</v>
      </c>
      <c r="B79" s="1">
        <v>1468236</v>
      </c>
      <c r="C79" s="1">
        <v>16714157</v>
      </c>
      <c r="D79" s="1">
        <v>1368236</v>
      </c>
      <c r="E79" s="1">
        <v>103916</v>
      </c>
      <c r="F79" s="1">
        <v>23587169</v>
      </c>
      <c r="G79" s="1">
        <v>1876747</v>
      </c>
      <c r="I79">
        <f>[1]!Module2.score_Altman(A79,B79,C79,D79,E79,F79,G79)</f>
        <v>1.4487535722553726E-2</v>
      </c>
      <c r="K79" t="s">
        <v>11</v>
      </c>
    </row>
    <row r="80" spans="1:11" x14ac:dyDescent="0.25">
      <c r="A80" s="1">
        <v>-8261638</v>
      </c>
      <c r="B80" s="1">
        <v>11544410</v>
      </c>
      <c r="C80" s="1">
        <v>11630330</v>
      </c>
      <c r="D80" s="1">
        <v>11444410</v>
      </c>
      <c r="E80" s="1">
        <v>226878</v>
      </c>
      <c r="F80" s="1">
        <v>19891968</v>
      </c>
      <c r="G80" s="1">
        <v>11879381</v>
      </c>
      <c r="I80">
        <f>[1]!Module2.score_Altman(A80,B80,C80,D80,E80,F80,G80)</f>
        <v>4.8117167008593675</v>
      </c>
      <c r="K80" t="s">
        <v>9</v>
      </c>
    </row>
    <row r="81" spans="1:11" x14ac:dyDescent="0.25">
      <c r="A81" s="1">
        <v>-225852</v>
      </c>
      <c r="B81" s="1">
        <v>1566182</v>
      </c>
      <c r="C81" s="1">
        <v>19721372</v>
      </c>
      <c r="D81" s="1">
        <v>1466182</v>
      </c>
      <c r="E81" s="1">
        <v>478732</v>
      </c>
      <c r="F81" s="1">
        <v>19947224</v>
      </c>
      <c r="G81" s="1">
        <v>2268761</v>
      </c>
      <c r="I81">
        <f>[1]!Module2.score_Altman(A81,B81,C81,D81,E81,F81,G81)</f>
        <v>0.47210266549140212</v>
      </c>
      <c r="K81" t="s">
        <v>11</v>
      </c>
    </row>
    <row r="82" spans="1:11" x14ac:dyDescent="0.25">
      <c r="A82" s="1">
        <v>-2952448</v>
      </c>
      <c r="B82" s="1">
        <v>6526653</v>
      </c>
      <c r="C82" s="1">
        <v>17329098</v>
      </c>
      <c r="D82" s="1">
        <v>6426653</v>
      </c>
      <c r="E82" s="1">
        <v>295961</v>
      </c>
      <c r="F82" s="1">
        <v>20281546</v>
      </c>
      <c r="G82" s="1">
        <v>7420602</v>
      </c>
      <c r="I82">
        <f>[1]!Module2.score_Altman(A82,B82,C82,D82,E82,F82,G82)</f>
        <v>1.9832099168300628</v>
      </c>
      <c r="K82" t="s">
        <v>10</v>
      </c>
    </row>
    <row r="83" spans="1:11" x14ac:dyDescent="0.25">
      <c r="A83" s="1">
        <v>1543361</v>
      </c>
      <c r="B83" s="1">
        <v>6638859</v>
      </c>
      <c r="C83" s="1">
        <v>21352018</v>
      </c>
      <c r="D83" s="1">
        <v>6538859</v>
      </c>
      <c r="E83" s="1">
        <v>223577</v>
      </c>
      <c r="F83" s="1">
        <v>19808657</v>
      </c>
      <c r="G83" s="1">
        <v>7089111</v>
      </c>
      <c r="I83">
        <f>[1]!Module2.score_Altman(A83,B83,C83,D83,E83,F83,G83)</f>
        <v>1.8710779732093215</v>
      </c>
      <c r="K83" t="s">
        <v>10</v>
      </c>
    </row>
    <row r="84" spans="1:11" x14ac:dyDescent="0.25">
      <c r="A84" s="1">
        <v>-5243746</v>
      </c>
      <c r="B84" s="1">
        <v>9332375</v>
      </c>
      <c r="C84" s="1">
        <v>19695101</v>
      </c>
      <c r="D84" s="1">
        <v>9232375</v>
      </c>
      <c r="E84" s="1">
        <v>494116</v>
      </c>
      <c r="F84" s="1">
        <v>24938847</v>
      </c>
      <c r="G84" s="1">
        <v>9470754</v>
      </c>
      <c r="I84">
        <f>[1]!Module2.score_Altman(A84,B84,C84,D84,E84,F84,G84)</f>
        <v>2.3830842909663916</v>
      </c>
      <c r="K84" t="s">
        <v>10</v>
      </c>
    </row>
    <row r="85" spans="1:11" x14ac:dyDescent="0.25">
      <c r="A85" s="1">
        <v>-10634262</v>
      </c>
      <c r="B85" s="1">
        <v>6572345</v>
      </c>
      <c r="C85" s="1">
        <v>12962398</v>
      </c>
      <c r="D85" s="1">
        <v>6472345</v>
      </c>
      <c r="E85" s="1">
        <v>274535</v>
      </c>
      <c r="F85" s="1">
        <v>23596660</v>
      </c>
      <c r="G85" s="1">
        <v>7083771</v>
      </c>
      <c r="I85">
        <f>[1]!Module2.score_Altman(A85,B85,C85,D85,E85,F85,G85)</f>
        <v>1.9260387958735226</v>
      </c>
      <c r="K85" t="s">
        <v>10</v>
      </c>
    </row>
    <row r="86" spans="1:11" x14ac:dyDescent="0.25">
      <c r="A86" s="1">
        <v>5675282</v>
      </c>
      <c r="B86" s="1">
        <v>8399156</v>
      </c>
      <c r="C86" s="1">
        <v>17984770</v>
      </c>
      <c r="D86" s="1">
        <v>8299156</v>
      </c>
      <c r="E86" s="1">
        <v>464276</v>
      </c>
      <c r="F86" s="1">
        <v>12309488</v>
      </c>
      <c r="G86" s="1">
        <v>8596679</v>
      </c>
      <c r="I86">
        <f>[1]!Module2.score_Altman(A86,B86,C86,D86,E86,F86,G86)</f>
        <v>3.05544368276</v>
      </c>
      <c r="K86" t="s">
        <v>9</v>
      </c>
    </row>
    <row r="87" spans="1:11" x14ac:dyDescent="0.25">
      <c r="A87" s="1">
        <v>5912342</v>
      </c>
      <c r="B87" s="1">
        <v>13029767</v>
      </c>
      <c r="C87" s="1">
        <v>17336875</v>
      </c>
      <c r="D87" s="1">
        <v>12929767</v>
      </c>
      <c r="E87" s="1">
        <v>170608</v>
      </c>
      <c r="F87" s="1">
        <v>11424533</v>
      </c>
      <c r="G87" s="1">
        <v>13766054</v>
      </c>
      <c r="I87">
        <f>[1]!Module2.score_Altman(A87,B87,C87,D87,E87,F87,G87)</f>
        <v>4.7247464381530877</v>
      </c>
      <c r="K87" t="s">
        <v>9</v>
      </c>
    </row>
    <row r="88" spans="1:11" x14ac:dyDescent="0.25">
      <c r="A88" s="1">
        <v>-1273462</v>
      </c>
      <c r="B88" s="1">
        <v>2532301</v>
      </c>
      <c r="C88" s="1">
        <v>14262889</v>
      </c>
      <c r="D88" s="1">
        <v>2432301</v>
      </c>
      <c r="E88" s="1">
        <v>302741</v>
      </c>
      <c r="F88" s="1">
        <v>15536351</v>
      </c>
      <c r="G88" s="1">
        <v>3461521</v>
      </c>
      <c r="I88">
        <f>[1]!Module2.score_Altman(A88,B88,C88,D88,E88,F88,G88)</f>
        <v>0.9583244590461254</v>
      </c>
      <c r="K88" t="s">
        <v>11</v>
      </c>
    </row>
    <row r="89" spans="1:11" x14ac:dyDescent="0.25">
      <c r="A89" s="1">
        <v>-2703333</v>
      </c>
      <c r="B89" s="1">
        <v>5781080</v>
      </c>
      <c r="C89" s="1">
        <v>13847753</v>
      </c>
      <c r="D89" s="1">
        <v>5681080</v>
      </c>
      <c r="E89" s="1">
        <v>144752</v>
      </c>
      <c r="F89" s="1">
        <v>16551086</v>
      </c>
      <c r="G89" s="1">
        <v>5983331</v>
      </c>
      <c r="I89">
        <f>[1]!Module2.score_Altman(A89,B89,C89,D89,E89,F89,G89)</f>
        <v>2.1409314316809178</v>
      </c>
      <c r="K89" t="s">
        <v>10</v>
      </c>
    </row>
    <row r="90" spans="1:11" x14ac:dyDescent="0.25">
      <c r="A90" s="1">
        <v>11531803</v>
      </c>
      <c r="B90" s="1">
        <v>13246470</v>
      </c>
      <c r="C90" s="1">
        <v>24683986</v>
      </c>
      <c r="D90" s="1">
        <v>13146470</v>
      </c>
      <c r="E90" s="1">
        <v>303524</v>
      </c>
      <c r="F90" s="1">
        <v>13152183</v>
      </c>
      <c r="G90" s="1">
        <v>13955952</v>
      </c>
      <c r="I90">
        <f>[1]!Module2.score_Altman(A90,B90,C90,D90,E90,F90,G90)</f>
        <v>3.6481288003027439</v>
      </c>
      <c r="K90" t="s">
        <v>9</v>
      </c>
    </row>
    <row r="91" spans="1:11" x14ac:dyDescent="0.25">
      <c r="A91" s="1">
        <v>-127677</v>
      </c>
      <c r="B91" s="1">
        <v>4905012</v>
      </c>
      <c r="C91" s="1">
        <v>20800746</v>
      </c>
      <c r="D91" s="1">
        <v>4805012</v>
      </c>
      <c r="E91" s="1">
        <v>463601</v>
      </c>
      <c r="F91" s="1">
        <v>20928423</v>
      </c>
      <c r="G91" s="1">
        <v>5554072</v>
      </c>
      <c r="I91">
        <f>[1]!Module2.score_Altman(A91,B91,C91,D91,E91,F91,G91)</f>
        <v>1.3651109347715973</v>
      </c>
      <c r="K91" t="s">
        <v>11</v>
      </c>
    </row>
    <row r="92" spans="1:11" x14ac:dyDescent="0.25">
      <c r="A92" s="1">
        <v>-1120625</v>
      </c>
      <c r="B92" s="1">
        <v>9730429</v>
      </c>
      <c r="C92" s="1">
        <v>12657304</v>
      </c>
      <c r="D92" s="1">
        <v>9630429</v>
      </c>
      <c r="E92" s="1">
        <v>416987</v>
      </c>
      <c r="F92" s="1">
        <v>13777929</v>
      </c>
      <c r="G92" s="1">
        <v>10256672</v>
      </c>
      <c r="I92">
        <f>[1]!Module2.score_Altman(A92,B92,C92,D92,E92,F92,G92)</f>
        <v>4.3085419562608003</v>
      </c>
      <c r="K92" t="s">
        <v>9</v>
      </c>
    </row>
    <row r="93" spans="1:11" x14ac:dyDescent="0.25">
      <c r="A93" s="1">
        <v>2649626</v>
      </c>
      <c r="B93" s="1">
        <v>5619720</v>
      </c>
      <c r="C93" s="1">
        <v>16789369</v>
      </c>
      <c r="D93" s="1">
        <v>5519720</v>
      </c>
      <c r="E93" s="1">
        <v>158010</v>
      </c>
      <c r="F93" s="1">
        <v>14139743</v>
      </c>
      <c r="G93" s="1">
        <v>5972295</v>
      </c>
      <c r="I93">
        <f>[1]!Module2.score_Altman(A93,B93,C93,D93,E93,F93,G93)</f>
        <v>2.1049708425626159</v>
      </c>
      <c r="K93" t="s">
        <v>10</v>
      </c>
    </row>
    <row r="94" spans="1:11" x14ac:dyDescent="0.25">
      <c r="A94" s="1">
        <v>190510</v>
      </c>
      <c r="B94" s="1">
        <v>701461</v>
      </c>
      <c r="C94" s="1">
        <v>15147681</v>
      </c>
      <c r="D94" s="1">
        <v>601461</v>
      </c>
      <c r="E94" s="1">
        <v>117172</v>
      </c>
      <c r="F94" s="1">
        <v>14957171</v>
      </c>
      <c r="G94" s="1">
        <v>1071900</v>
      </c>
      <c r="I94">
        <f>[1]!Module2.score_Altman(A94,B94,C94,D94,E94,F94,G94)</f>
        <v>0.2863478150963783</v>
      </c>
      <c r="K94" t="s">
        <v>11</v>
      </c>
    </row>
    <row r="95" spans="1:11" x14ac:dyDescent="0.25">
      <c r="A95" s="1">
        <v>9346037</v>
      </c>
      <c r="B95" s="1">
        <v>13186318</v>
      </c>
      <c r="C95" s="1">
        <v>19394753</v>
      </c>
      <c r="D95" s="1">
        <v>13086318</v>
      </c>
      <c r="E95" s="1">
        <v>317675</v>
      </c>
      <c r="F95" s="1">
        <v>10048716</v>
      </c>
      <c r="G95" s="1">
        <v>13907812</v>
      </c>
      <c r="I95">
        <f>[1]!Module2.score_Altman(A95,B95,C95,D95,E95,F95,G95)</f>
        <v>4.4920773104429239</v>
      </c>
      <c r="K95" t="s">
        <v>9</v>
      </c>
    </row>
    <row r="96" spans="1:11" x14ac:dyDescent="0.25">
      <c r="A96" s="1">
        <v>-7959666</v>
      </c>
      <c r="B96" s="1">
        <v>8159588</v>
      </c>
      <c r="C96" s="1">
        <v>12550453</v>
      </c>
      <c r="D96" s="1">
        <v>8059588</v>
      </c>
      <c r="E96" s="1">
        <v>448773</v>
      </c>
      <c r="F96" s="1">
        <v>20510119</v>
      </c>
      <c r="G96" s="1">
        <v>8465488</v>
      </c>
      <c r="I96">
        <f>[1]!Module2.score_Altman(A96,B96,C96,D96,E96,F96,G96)</f>
        <v>2.9552920741587876</v>
      </c>
      <c r="K96" t="s">
        <v>10</v>
      </c>
    </row>
    <row r="97" spans="1:11" x14ac:dyDescent="0.25">
      <c r="A97" s="1">
        <v>-12912119</v>
      </c>
      <c r="B97" s="1">
        <v>8507030</v>
      </c>
      <c r="C97" s="1">
        <v>11007748</v>
      </c>
      <c r="D97" s="1">
        <v>8407030</v>
      </c>
      <c r="E97" s="1">
        <v>481935</v>
      </c>
      <c r="F97" s="1">
        <v>23919867</v>
      </c>
      <c r="G97" s="1">
        <v>9227676</v>
      </c>
      <c r="I97">
        <f>[1]!Module2.score_Altman(A97,B97,C97,D97,E97,F97,G97)</f>
        <v>3.0442208228856322</v>
      </c>
      <c r="K97" t="s">
        <v>9</v>
      </c>
    </row>
    <row r="98" spans="1:11" x14ac:dyDescent="0.25">
      <c r="A98" s="1">
        <v>5220520</v>
      </c>
      <c r="B98" s="1">
        <v>3143929</v>
      </c>
      <c r="C98" s="1">
        <v>21746643</v>
      </c>
      <c r="D98" s="1">
        <v>3043929</v>
      </c>
      <c r="E98" s="1">
        <v>278393</v>
      </c>
      <c r="F98" s="1">
        <v>16526123</v>
      </c>
      <c r="G98" s="1">
        <v>4047922</v>
      </c>
      <c r="I98">
        <f>[1]!Module2.score_Altman(A98,B98,C98,D98,E98,F98,G98)</f>
        <v>1.1484423205405474</v>
      </c>
      <c r="K98" t="s">
        <v>11</v>
      </c>
    </row>
    <row r="99" spans="1:11" x14ac:dyDescent="0.25">
      <c r="A99" s="1">
        <v>-3704886</v>
      </c>
      <c r="B99" s="1">
        <v>7581114</v>
      </c>
      <c r="C99" s="1">
        <v>20640504</v>
      </c>
      <c r="D99" s="1">
        <v>7481114</v>
      </c>
      <c r="E99" s="1">
        <v>223073</v>
      </c>
      <c r="F99" s="1">
        <v>24345390</v>
      </c>
      <c r="G99" s="1">
        <v>7889934</v>
      </c>
      <c r="I99">
        <f>[1]!Module2.score_Altman(A99,B99,C99,D99,E99,F99,G99)</f>
        <v>1.8822646633982658</v>
      </c>
      <c r="K99" t="s">
        <v>10</v>
      </c>
    </row>
    <row r="100" spans="1:11" x14ac:dyDescent="0.25">
      <c r="A100" s="1">
        <v>1331058</v>
      </c>
      <c r="B100" s="1">
        <v>5193889</v>
      </c>
      <c r="C100" s="1">
        <v>15605653</v>
      </c>
      <c r="D100" s="1">
        <v>5093889</v>
      </c>
      <c r="E100" s="1">
        <v>260482</v>
      </c>
      <c r="F100" s="1">
        <v>14274595</v>
      </c>
      <c r="G100" s="1">
        <v>5580003</v>
      </c>
      <c r="I100">
        <f>[1]!Module2.score_Altman(A100,B100,C100,D100,E100,F100,G100)</f>
        <v>2.0136186511516572</v>
      </c>
      <c r="K100" t="s">
        <v>10</v>
      </c>
    </row>
    <row r="101" spans="1:11" x14ac:dyDescent="0.25">
      <c r="A101" s="1">
        <v>575770</v>
      </c>
      <c r="B101" s="1">
        <v>5416779</v>
      </c>
      <c r="C101" s="1">
        <v>15557689</v>
      </c>
      <c r="D101" s="1">
        <v>5316779</v>
      </c>
      <c r="E101" s="1">
        <v>406955</v>
      </c>
      <c r="F101" s="1">
        <v>14981919</v>
      </c>
      <c r="G101" s="1">
        <v>5874074</v>
      </c>
      <c r="I101">
        <f>[1]!Module2.score_Altman(A101,B101,C101,D101,E101,F101,G101)</f>
        <v>2.0531032706052064</v>
      </c>
      <c r="K101" t="s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E20"/>
  <sheetViews>
    <sheetView workbookViewId="0">
      <selection activeCell="I8" sqref="I8"/>
    </sheetView>
  </sheetViews>
  <sheetFormatPr baseColWidth="10" defaultRowHeight="15" x14ac:dyDescent="0.25"/>
  <sheetData>
    <row r="1" spans="1:5" x14ac:dyDescent="0.25">
      <c r="A1">
        <v>3.7256642097085702</v>
      </c>
      <c r="B1">
        <v>2.4137013131007552</v>
      </c>
      <c r="C1">
        <v>1.7202339506149291</v>
      </c>
      <c r="D1">
        <v>4.1739169611781834</v>
      </c>
      <c r="E1">
        <v>1.9832099168300628</v>
      </c>
    </row>
    <row r="2" spans="1:5" x14ac:dyDescent="0.25">
      <c r="A2">
        <v>2.0228155059292909</v>
      </c>
      <c r="B2">
        <v>2.8205031999796626</v>
      </c>
      <c r="C2">
        <v>1.8336303038373589</v>
      </c>
      <c r="D2">
        <v>2.0759504548013208</v>
      </c>
      <c r="E2">
        <v>1.8710779732093215</v>
      </c>
    </row>
    <row r="3" spans="1:5" x14ac:dyDescent="0.25">
      <c r="A3">
        <v>1.0524954788647591</v>
      </c>
      <c r="B3">
        <v>3.5652231401503083</v>
      </c>
      <c r="C3">
        <v>1.423873401157558</v>
      </c>
      <c r="D3">
        <v>2.0626346048116684</v>
      </c>
      <c r="E3">
        <v>2.3830842909663916</v>
      </c>
    </row>
    <row r="4" spans="1:5" x14ac:dyDescent="0.25">
      <c r="A4">
        <v>5.4192873244583604</v>
      </c>
      <c r="B4">
        <v>-0.36182077995873985</v>
      </c>
      <c r="C4">
        <v>2.0519310696832833</v>
      </c>
      <c r="D4">
        <v>1.8341425210833548</v>
      </c>
      <c r="E4">
        <v>1.9260387958735226</v>
      </c>
    </row>
    <row r="5" spans="1:5" x14ac:dyDescent="0.25">
      <c r="A5">
        <v>3.4672293988615275</v>
      </c>
      <c r="B5">
        <v>0.27851366305351255</v>
      </c>
      <c r="C5">
        <v>2.2806800007224082</v>
      </c>
      <c r="D5">
        <v>2.3077932580672202</v>
      </c>
      <c r="E5">
        <v>3.05544368276</v>
      </c>
    </row>
    <row r="6" spans="1:5" x14ac:dyDescent="0.25">
      <c r="A6">
        <v>2.4969500305056571</v>
      </c>
      <c r="B6">
        <v>2.8743009814769027</v>
      </c>
      <c r="C6">
        <v>2.2519270801469684</v>
      </c>
      <c r="D6">
        <v>1.519208691239357</v>
      </c>
      <c r="E6">
        <v>4.7247464381530877</v>
      </c>
    </row>
    <row r="7" spans="1:5" x14ac:dyDescent="0.25">
      <c r="A7">
        <v>2.5531636898517607</v>
      </c>
      <c r="B7">
        <v>4.3861017737686634</v>
      </c>
      <c r="C7">
        <v>1.1041715009510518</v>
      </c>
      <c r="D7">
        <v>4.7233609706982964</v>
      </c>
      <c r="E7">
        <v>0.9583244590461254</v>
      </c>
    </row>
    <row r="8" spans="1:5" x14ac:dyDescent="0.25">
      <c r="A8">
        <v>1.352026329025626</v>
      </c>
      <c r="B8">
        <v>3.0959086625799537</v>
      </c>
      <c r="C8">
        <v>2.50030665256083</v>
      </c>
      <c r="D8">
        <v>0.32120544031262394</v>
      </c>
      <c r="E8">
        <v>2.1409314316809178</v>
      </c>
    </row>
    <row r="9" spans="1:5" x14ac:dyDescent="0.25">
      <c r="A9">
        <v>1.9715534928888081</v>
      </c>
      <c r="B9">
        <v>4.4180014896839852</v>
      </c>
      <c r="C9">
        <v>1.6194977611862122</v>
      </c>
      <c r="D9">
        <v>3.4297471091039475</v>
      </c>
      <c r="E9">
        <v>3.6481288003027439</v>
      </c>
    </row>
    <row r="10" spans="1:5" x14ac:dyDescent="0.25">
      <c r="A10">
        <v>4.1230445728898051</v>
      </c>
      <c r="B10">
        <v>2.1980202953591941</v>
      </c>
      <c r="C10">
        <v>1.5302356764152645</v>
      </c>
      <c r="D10">
        <v>2.8166187588870524</v>
      </c>
      <c r="E10">
        <v>1.3651109347715973</v>
      </c>
    </row>
    <row r="11" spans="1:5" x14ac:dyDescent="0.25">
      <c r="A11">
        <v>0.68745299649238578</v>
      </c>
      <c r="B11">
        <v>3.1656268653646111</v>
      </c>
      <c r="C11">
        <v>1.5558984540030361</v>
      </c>
      <c r="D11">
        <v>3.2431462643593547</v>
      </c>
      <c r="E11">
        <v>4.3085419562608003</v>
      </c>
    </row>
    <row r="12" spans="1:5" x14ac:dyDescent="0.25">
      <c r="A12">
        <v>1.7693205572217703</v>
      </c>
      <c r="B12">
        <v>4.7870488924682135</v>
      </c>
      <c r="C12">
        <v>1.1507575681805611</v>
      </c>
      <c r="D12">
        <v>0.52165811944007867</v>
      </c>
      <c r="E12">
        <v>2.1049708425626159</v>
      </c>
    </row>
    <row r="13" spans="1:5" x14ac:dyDescent="0.25">
      <c r="A13">
        <v>1.1813897778987883</v>
      </c>
      <c r="B13">
        <v>1.7794225775897503</v>
      </c>
      <c r="C13">
        <v>2.227421864695847</v>
      </c>
      <c r="D13">
        <v>2.217679562449455</v>
      </c>
      <c r="E13">
        <v>0.2863478150963783</v>
      </c>
    </row>
    <row r="14" spans="1:5" x14ac:dyDescent="0.25">
      <c r="A14">
        <v>0.67225231596827506</v>
      </c>
      <c r="B14">
        <v>2.1461522343531252</v>
      </c>
      <c r="C14">
        <v>1.7841979699991644</v>
      </c>
      <c r="D14">
        <v>1.6434557838886976</v>
      </c>
      <c r="E14">
        <v>4.4920773104429239</v>
      </c>
    </row>
    <row r="15" spans="1:5" x14ac:dyDescent="0.25">
      <c r="A15">
        <v>2.7409627664610743</v>
      </c>
      <c r="B15">
        <v>3.6417555739060044</v>
      </c>
      <c r="C15">
        <v>2.0110938330069184</v>
      </c>
      <c r="D15">
        <v>3.9256742382049561</v>
      </c>
      <c r="E15">
        <v>2.9552920741587876</v>
      </c>
    </row>
    <row r="16" spans="1:5" x14ac:dyDescent="0.25">
      <c r="A16">
        <v>2.9628113940730691</v>
      </c>
      <c r="B16">
        <v>0.9205845631510019</v>
      </c>
      <c r="C16">
        <v>-0.30594068379700184</v>
      </c>
      <c r="D16">
        <v>5.4616181977540252</v>
      </c>
      <c r="E16">
        <v>3.0442208228856322</v>
      </c>
    </row>
    <row r="17" spans="1:5" x14ac:dyDescent="0.25">
      <c r="A17">
        <v>3.5286206292062996</v>
      </c>
      <c r="B17">
        <v>2.747930516809225</v>
      </c>
      <c r="C17">
        <v>2.1741039518117904</v>
      </c>
      <c r="D17">
        <v>3.2767208650857209</v>
      </c>
      <c r="E17">
        <v>1.1484423205405474</v>
      </c>
    </row>
    <row r="18" spans="1:5" x14ac:dyDescent="0.25">
      <c r="A18">
        <v>1.9019956842511891</v>
      </c>
      <c r="B18">
        <v>1.0453682209774851</v>
      </c>
      <c r="C18">
        <v>2.3205693156868219</v>
      </c>
      <c r="D18">
        <v>1.4487535722553726E-2</v>
      </c>
      <c r="E18">
        <v>1.8822646633982658</v>
      </c>
    </row>
    <row r="19" spans="1:5" x14ac:dyDescent="0.25">
      <c r="A19">
        <v>3.1514402007386089</v>
      </c>
      <c r="B19">
        <v>4.5444855544120069</v>
      </c>
      <c r="C19">
        <v>1.5339753822162747</v>
      </c>
      <c r="D19">
        <v>4.8117167008593675</v>
      </c>
      <c r="E19">
        <v>2.0136186511516572</v>
      </c>
    </row>
    <row r="20" spans="1:5" x14ac:dyDescent="0.25">
      <c r="A20">
        <v>0.45246069119870658</v>
      </c>
      <c r="B20">
        <v>2.5016483642086387</v>
      </c>
      <c r="C20">
        <v>1.8158966803848742</v>
      </c>
      <c r="D20">
        <v>0.47210266549140212</v>
      </c>
      <c r="E20">
        <v>2.0531032706052064</v>
      </c>
    </row>
  </sheetData>
  <conditionalFormatting sqref="A1:E20">
    <cfRule type="colorScale" priority="1">
      <colorScale>
        <cfvo type="num" val="1.81"/>
        <cfvo type="percentile" val="50"/>
        <cfvo type="num" val="2.99"/>
        <color rgb="FFFF0000"/>
        <color rgb="FFFFFF00"/>
        <color rgb="FF92D050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1"/>
  <sheetViews>
    <sheetView tabSelected="1" topLeftCell="A11" workbookViewId="0">
      <selection activeCell="L26" sqref="L26"/>
    </sheetView>
  </sheetViews>
  <sheetFormatPr baseColWidth="10" defaultRowHeight="15" x14ac:dyDescent="0.25"/>
  <sheetData>
    <row r="1" spans="1:6" x14ac:dyDescent="0.25">
      <c r="A1" s="1" t="s">
        <v>12</v>
      </c>
      <c r="E1" t="s">
        <v>13</v>
      </c>
      <c r="F1" t="s">
        <v>14</v>
      </c>
    </row>
    <row r="2" spans="1:6" x14ac:dyDescent="0.25">
      <c r="A2" t="s">
        <v>9</v>
      </c>
      <c r="E2" t="s">
        <v>15</v>
      </c>
      <c r="F2">
        <f>COUNTIF(A2:A101,A2)</f>
        <v>28</v>
      </c>
    </row>
    <row r="3" spans="1:6" x14ac:dyDescent="0.25">
      <c r="A3" t="s">
        <v>10</v>
      </c>
      <c r="E3" t="s">
        <v>17</v>
      </c>
      <c r="F3">
        <f>COUNTIF(A2:A101,A3)</f>
        <v>40</v>
      </c>
    </row>
    <row r="4" spans="1:6" x14ac:dyDescent="0.25">
      <c r="A4" t="s">
        <v>11</v>
      </c>
      <c r="E4" t="s">
        <v>16</v>
      </c>
      <c r="F4">
        <f>COUNTIF(A2:A101,A4)</f>
        <v>32</v>
      </c>
    </row>
    <row r="5" spans="1:6" x14ac:dyDescent="0.25">
      <c r="A5" t="s">
        <v>9</v>
      </c>
    </row>
    <row r="6" spans="1:6" x14ac:dyDescent="0.25">
      <c r="A6" t="s">
        <v>9</v>
      </c>
    </row>
    <row r="7" spans="1:6" x14ac:dyDescent="0.25">
      <c r="A7" t="s">
        <v>10</v>
      </c>
    </row>
    <row r="8" spans="1:6" x14ac:dyDescent="0.25">
      <c r="A8" t="s">
        <v>10</v>
      </c>
    </row>
    <row r="9" spans="1:6" x14ac:dyDescent="0.25">
      <c r="A9" t="s">
        <v>11</v>
      </c>
    </row>
    <row r="10" spans="1:6" x14ac:dyDescent="0.25">
      <c r="A10" t="s">
        <v>10</v>
      </c>
    </row>
    <row r="11" spans="1:6" x14ac:dyDescent="0.25">
      <c r="A11" t="s">
        <v>9</v>
      </c>
    </row>
    <row r="12" spans="1:6" x14ac:dyDescent="0.25">
      <c r="A12" t="s">
        <v>11</v>
      </c>
    </row>
    <row r="13" spans="1:6" x14ac:dyDescent="0.25">
      <c r="A13" t="s">
        <v>11</v>
      </c>
    </row>
    <row r="14" spans="1:6" x14ac:dyDescent="0.25">
      <c r="A14" t="s">
        <v>11</v>
      </c>
    </row>
    <row r="15" spans="1:6" x14ac:dyDescent="0.25">
      <c r="A15" t="s">
        <v>11</v>
      </c>
    </row>
    <row r="16" spans="1:6" x14ac:dyDescent="0.25">
      <c r="A16" t="s">
        <v>10</v>
      </c>
    </row>
    <row r="17" spans="1:1" x14ac:dyDescent="0.25">
      <c r="A17" t="s">
        <v>10</v>
      </c>
    </row>
    <row r="18" spans="1:1" x14ac:dyDescent="0.25">
      <c r="A18" t="s">
        <v>9</v>
      </c>
    </row>
    <row r="19" spans="1:1" x14ac:dyDescent="0.25">
      <c r="A19" t="s">
        <v>10</v>
      </c>
    </row>
    <row r="20" spans="1:1" x14ac:dyDescent="0.25">
      <c r="A20" t="s">
        <v>9</v>
      </c>
    </row>
    <row r="21" spans="1:1" x14ac:dyDescent="0.25">
      <c r="A21" t="s">
        <v>11</v>
      </c>
    </row>
    <row r="22" spans="1:1" x14ac:dyDescent="0.25">
      <c r="A22" t="s">
        <v>10</v>
      </c>
    </row>
    <row r="23" spans="1:1" x14ac:dyDescent="0.25">
      <c r="A23" t="s">
        <v>10</v>
      </c>
    </row>
    <row r="24" spans="1:1" x14ac:dyDescent="0.25">
      <c r="A24" t="s">
        <v>9</v>
      </c>
    </row>
    <row r="25" spans="1:1" x14ac:dyDescent="0.25">
      <c r="A25" t="s">
        <v>11</v>
      </c>
    </row>
    <row r="26" spans="1:1" x14ac:dyDescent="0.25">
      <c r="A26" t="s">
        <v>11</v>
      </c>
    </row>
    <row r="27" spans="1:1" x14ac:dyDescent="0.25">
      <c r="A27" t="s">
        <v>10</v>
      </c>
    </row>
    <row r="28" spans="1:1" x14ac:dyDescent="0.25">
      <c r="A28" t="s">
        <v>9</v>
      </c>
    </row>
    <row r="29" spans="1:1" x14ac:dyDescent="0.25">
      <c r="A29" t="s">
        <v>9</v>
      </c>
    </row>
    <row r="30" spans="1:1" x14ac:dyDescent="0.25">
      <c r="A30" t="s">
        <v>9</v>
      </c>
    </row>
    <row r="31" spans="1:1" x14ac:dyDescent="0.25">
      <c r="A31" t="s">
        <v>10</v>
      </c>
    </row>
    <row r="32" spans="1:1" x14ac:dyDescent="0.25">
      <c r="A32" t="s">
        <v>9</v>
      </c>
    </row>
    <row r="33" spans="1:1" x14ac:dyDescent="0.25">
      <c r="A33" t="s">
        <v>9</v>
      </c>
    </row>
    <row r="34" spans="1:1" x14ac:dyDescent="0.25">
      <c r="A34" t="s">
        <v>11</v>
      </c>
    </row>
    <row r="35" spans="1:1" x14ac:dyDescent="0.25">
      <c r="A35" t="s">
        <v>10</v>
      </c>
    </row>
    <row r="36" spans="1:1" x14ac:dyDescent="0.25">
      <c r="A36" t="s">
        <v>9</v>
      </c>
    </row>
    <row r="37" spans="1:1" x14ac:dyDescent="0.25">
      <c r="A37" t="s">
        <v>11</v>
      </c>
    </row>
    <row r="38" spans="1:1" x14ac:dyDescent="0.25">
      <c r="A38" t="s">
        <v>10</v>
      </c>
    </row>
    <row r="39" spans="1:1" x14ac:dyDescent="0.25">
      <c r="A39" t="s">
        <v>11</v>
      </c>
    </row>
    <row r="40" spans="1:1" x14ac:dyDescent="0.25">
      <c r="A40" t="s">
        <v>9</v>
      </c>
    </row>
    <row r="41" spans="1:1" x14ac:dyDescent="0.25">
      <c r="A41" t="s">
        <v>10</v>
      </c>
    </row>
    <row r="42" spans="1:1" x14ac:dyDescent="0.25">
      <c r="A42" t="s">
        <v>11</v>
      </c>
    </row>
    <row r="43" spans="1:1" x14ac:dyDescent="0.25">
      <c r="A43" t="s">
        <v>10</v>
      </c>
    </row>
    <row r="44" spans="1:1" x14ac:dyDescent="0.25">
      <c r="A44" t="s">
        <v>11</v>
      </c>
    </row>
    <row r="45" spans="1:1" x14ac:dyDescent="0.25">
      <c r="A45" t="s">
        <v>10</v>
      </c>
    </row>
    <row r="46" spans="1:1" x14ac:dyDescent="0.25">
      <c r="A46" t="s">
        <v>10</v>
      </c>
    </row>
    <row r="47" spans="1:1" x14ac:dyDescent="0.25">
      <c r="A47" t="s">
        <v>10</v>
      </c>
    </row>
    <row r="48" spans="1:1" x14ac:dyDescent="0.25">
      <c r="A48" t="s">
        <v>11</v>
      </c>
    </row>
    <row r="49" spans="1:1" x14ac:dyDescent="0.25">
      <c r="A49" t="s">
        <v>10</v>
      </c>
    </row>
    <row r="50" spans="1:1" x14ac:dyDescent="0.25">
      <c r="A50" t="s">
        <v>11</v>
      </c>
    </row>
    <row r="51" spans="1:1" x14ac:dyDescent="0.25">
      <c r="A51" t="s">
        <v>11</v>
      </c>
    </row>
    <row r="52" spans="1:1" x14ac:dyDescent="0.25">
      <c r="A52" t="s">
        <v>11</v>
      </c>
    </row>
    <row r="53" spans="1:1" x14ac:dyDescent="0.25">
      <c r="A53" t="s">
        <v>11</v>
      </c>
    </row>
    <row r="54" spans="1:1" x14ac:dyDescent="0.25">
      <c r="A54" t="s">
        <v>10</v>
      </c>
    </row>
    <row r="55" spans="1:1" x14ac:dyDescent="0.25">
      <c r="A55" t="s">
        <v>11</v>
      </c>
    </row>
    <row r="56" spans="1:1" x14ac:dyDescent="0.25">
      <c r="A56" t="s">
        <v>10</v>
      </c>
    </row>
    <row r="57" spans="1:1" x14ac:dyDescent="0.25">
      <c r="A57" t="s">
        <v>11</v>
      </c>
    </row>
    <row r="58" spans="1:1" x14ac:dyDescent="0.25">
      <c r="A58" t="s">
        <v>10</v>
      </c>
    </row>
    <row r="59" spans="1:1" x14ac:dyDescent="0.25">
      <c r="A59" t="s">
        <v>10</v>
      </c>
    </row>
    <row r="60" spans="1:1" x14ac:dyDescent="0.25">
      <c r="A60" t="s">
        <v>11</v>
      </c>
    </row>
    <row r="61" spans="1:1" x14ac:dyDescent="0.25">
      <c r="A61" t="s">
        <v>10</v>
      </c>
    </row>
    <row r="62" spans="1:1" x14ac:dyDescent="0.25">
      <c r="A62" t="s">
        <v>9</v>
      </c>
    </row>
    <row r="63" spans="1:1" x14ac:dyDescent="0.25">
      <c r="A63" t="s">
        <v>10</v>
      </c>
    </row>
    <row r="64" spans="1:1" x14ac:dyDescent="0.25">
      <c r="A64" t="s">
        <v>10</v>
      </c>
    </row>
    <row r="65" spans="1:1" x14ac:dyDescent="0.25">
      <c r="A65" t="s">
        <v>10</v>
      </c>
    </row>
    <row r="66" spans="1:1" x14ac:dyDescent="0.25">
      <c r="A66" t="s">
        <v>10</v>
      </c>
    </row>
    <row r="67" spans="1:1" x14ac:dyDescent="0.25">
      <c r="A67" t="s">
        <v>11</v>
      </c>
    </row>
    <row r="68" spans="1:1" x14ac:dyDescent="0.25">
      <c r="A68" t="s">
        <v>9</v>
      </c>
    </row>
    <row r="69" spans="1:1" x14ac:dyDescent="0.25">
      <c r="A69" t="s">
        <v>11</v>
      </c>
    </row>
    <row r="70" spans="1:1" x14ac:dyDescent="0.25">
      <c r="A70" t="s">
        <v>9</v>
      </c>
    </row>
    <row r="71" spans="1:1" x14ac:dyDescent="0.25">
      <c r="A71" t="s">
        <v>10</v>
      </c>
    </row>
    <row r="72" spans="1:1" x14ac:dyDescent="0.25">
      <c r="A72" t="s">
        <v>9</v>
      </c>
    </row>
    <row r="73" spans="1:1" x14ac:dyDescent="0.25">
      <c r="A73" t="s">
        <v>11</v>
      </c>
    </row>
    <row r="74" spans="1:1" x14ac:dyDescent="0.25">
      <c r="A74" t="s">
        <v>10</v>
      </c>
    </row>
    <row r="75" spans="1:1" x14ac:dyDescent="0.25">
      <c r="A75" t="s">
        <v>11</v>
      </c>
    </row>
    <row r="76" spans="1:1" x14ac:dyDescent="0.25">
      <c r="A76" t="s">
        <v>9</v>
      </c>
    </row>
    <row r="77" spans="1:1" x14ac:dyDescent="0.25">
      <c r="A77" t="s">
        <v>9</v>
      </c>
    </row>
    <row r="78" spans="1:1" x14ac:dyDescent="0.25">
      <c r="A78" t="s">
        <v>9</v>
      </c>
    </row>
    <row r="79" spans="1:1" x14ac:dyDescent="0.25">
      <c r="A79" t="s">
        <v>11</v>
      </c>
    </row>
    <row r="80" spans="1:1" x14ac:dyDescent="0.25">
      <c r="A80" t="s">
        <v>9</v>
      </c>
    </row>
    <row r="81" spans="1:1" x14ac:dyDescent="0.25">
      <c r="A81" t="s">
        <v>11</v>
      </c>
    </row>
    <row r="82" spans="1:1" x14ac:dyDescent="0.25">
      <c r="A82" t="s">
        <v>10</v>
      </c>
    </row>
    <row r="83" spans="1:1" x14ac:dyDescent="0.25">
      <c r="A83" t="s">
        <v>10</v>
      </c>
    </row>
    <row r="84" spans="1:1" x14ac:dyDescent="0.25">
      <c r="A84" t="s">
        <v>10</v>
      </c>
    </row>
    <row r="85" spans="1:1" x14ac:dyDescent="0.25">
      <c r="A85" t="s">
        <v>10</v>
      </c>
    </row>
    <row r="86" spans="1:1" x14ac:dyDescent="0.25">
      <c r="A86" t="s">
        <v>9</v>
      </c>
    </row>
    <row r="87" spans="1:1" x14ac:dyDescent="0.25">
      <c r="A87" t="s">
        <v>9</v>
      </c>
    </row>
    <row r="88" spans="1:1" x14ac:dyDescent="0.25">
      <c r="A88" t="s">
        <v>11</v>
      </c>
    </row>
    <row r="89" spans="1:1" x14ac:dyDescent="0.25">
      <c r="A89" t="s">
        <v>10</v>
      </c>
    </row>
    <row r="90" spans="1:1" x14ac:dyDescent="0.25">
      <c r="A90" t="s">
        <v>9</v>
      </c>
    </row>
    <row r="91" spans="1:1" x14ac:dyDescent="0.25">
      <c r="A91" t="s">
        <v>11</v>
      </c>
    </row>
    <row r="92" spans="1:1" x14ac:dyDescent="0.25">
      <c r="A92" t="s">
        <v>9</v>
      </c>
    </row>
    <row r="93" spans="1:1" x14ac:dyDescent="0.25">
      <c r="A93" t="s">
        <v>10</v>
      </c>
    </row>
    <row r="94" spans="1:1" x14ac:dyDescent="0.25">
      <c r="A94" t="s">
        <v>11</v>
      </c>
    </row>
    <row r="95" spans="1:1" x14ac:dyDescent="0.25">
      <c r="A95" t="s">
        <v>9</v>
      </c>
    </row>
    <row r="96" spans="1:1" x14ac:dyDescent="0.25">
      <c r="A96" t="s">
        <v>10</v>
      </c>
    </row>
    <row r="97" spans="1:1" x14ac:dyDescent="0.25">
      <c r="A97" t="s">
        <v>9</v>
      </c>
    </row>
    <row r="98" spans="1:1" x14ac:dyDescent="0.25">
      <c r="A98" t="s">
        <v>11</v>
      </c>
    </row>
    <row r="99" spans="1:1" x14ac:dyDescent="0.25">
      <c r="A99" t="s">
        <v>10</v>
      </c>
    </row>
    <row r="100" spans="1:1" x14ac:dyDescent="0.25">
      <c r="A100" t="s">
        <v>10</v>
      </c>
    </row>
    <row r="101" spans="1:1" x14ac:dyDescent="0.25">
      <c r="A101" t="s">
        <v>10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</vt:lpstr>
      <vt:lpstr>B</vt:lpstr>
      <vt:lpstr>C</vt:lpstr>
      <vt:lpstr>D</vt:lpstr>
      <vt:lpstr>E</vt:lpstr>
      <vt:lpstr>RECAP</vt:lpstr>
      <vt:lpstr>HEATMAP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Sokhna</dc:creator>
  <cp:lastModifiedBy>HP</cp:lastModifiedBy>
  <dcterms:created xsi:type="dcterms:W3CDTF">2020-02-19T21:19:23Z</dcterms:created>
  <dcterms:modified xsi:type="dcterms:W3CDTF">2020-02-27T07:08:10Z</dcterms:modified>
</cp:coreProperties>
</file>